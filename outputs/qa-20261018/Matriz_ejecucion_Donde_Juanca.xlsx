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4f787801d44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CIÓN GENERAL" sheetId="1" r:id="R17ec4e4cc8d64216"/>
    <x:sheet xmlns:r="http://schemas.openxmlformats.org/officeDocument/2006/relationships" name="MATRIZ GENERAL DE CASOS" sheetId="2" r:id="R1782d0ef62c84e0a"/>
    <x:sheet xmlns:r="http://schemas.openxmlformats.org/officeDocument/2006/relationships" name="AMBIENTE DE PRUEBAS" sheetId="3" r:id="Rd9a10d2dca9b4f2b"/>
    <x:sheet xmlns:r="http://schemas.openxmlformats.org/officeDocument/2006/relationships" name="DATOS DE PRUEBA" sheetId="4" r:id="R1b5acb5007694b49"/>
    <x:sheet xmlns:r="http://schemas.openxmlformats.org/officeDocument/2006/relationships" name="TRAZABILIDAD" sheetId="5" r:id="R21896cbc1d2d4051"/>
    <x:sheet xmlns:r="http://schemas.openxmlformats.org/officeDocument/2006/relationships" name="REGISTRO DE DEFECTOS" sheetId="6" r:id="R95c1b8158990433d"/>
    <x:sheet xmlns:r="http://schemas.openxmlformats.org/officeDocument/2006/relationships" name="RESUMEN DE EJECUCIÓN" sheetId="7" r:id="R51a7d65e7b4a44f7"/>
    <x:sheet xmlns:r="http://schemas.openxmlformats.org/officeDocument/2006/relationships" name="CRITERIOS Y ESTADOS" sheetId="8" r:id="Rc0eccd9d7f964486"/>
  </x:sheets>
  <definedNames xmlns="http://schemas.openxmlformats.org/spreadsheetml/2006/main">
    <definedName function="false" hidden="true" localSheetId="1" name="_xlnm._FilterDatabase" vbProcedure="false">'MATRIZ GENERAL DE CASOS'!$A$4:$V$59</definedName>
  </definedNames>
</x:workbook>
</file>

<file path=xl/sharedStrings.xml><?xml version="1.0" encoding="utf-8"?>
<x:sst xmlns:x="http://schemas.openxmlformats.org/spreadsheetml/2006/main">
  <x:si>
    <x:t xml:space="preserve">DISEÑO DE CASOS DE PRUEBA Y AMBIENTE DE PRUEBAS – DONDE JUANCA</x:t>
  </x:si>
  <x:si>
    <x:t xml:space="preserve">SENA · Análisis y Desarrollo de Software · GA9-220501096-AA2-EV01 · Proyecto formativo: Donde Juanca</x:t>
  </x:si>
  <x:si>
    <x:t xml:space="preserve">Institución</x:t>
  </x:si>
  <x:si>
    <x:t xml:space="preserve">Servicio Nacional de Aprendizaje (SENA)</x:t>
  </x:si>
  <x:si>
    <x:t xml:space="preserve">Programa de formación</x:t>
  </x:si>
  <x:si>
    <x:t xml:space="preserve">Análisis y Desarrollo de Software (ADSO) – Ficha 3235893</x:t>
  </x:si>
  <x:si>
    <x:t xml:space="preserve">Código de la evidencia</x:t>
  </x:si>
  <x:si>
    <x:t xml:space="preserve">GA9-220501096-AA2-EV01</x:t>
  </x:si>
  <x:si>
    <x:t xml:space="preserve">Nombre de la evidencia</x:t>
  </x:si>
  <x:si>
    <x:t xml:space="preserve">Diseña casos y define el ambiente de pruebas de software según proyecto</x:t>
  </x:si>
  <x:si>
    <x:t xml:space="preserve">Guía de aprendizaje</x:t>
  </x:si>
  <x:si>
    <x:t xml:space="preserve">Guía de Aprendizaje 9</x:t>
  </x:si>
  <x:si>
    <x:t xml:space="preserve">Proyecto formativo</x:t>
  </x:si>
  <x:si>
    <x:t xml:space="preserve">Donde Juanca – Sistema de información para la administración de un establecimiento de bebidas, productos y juegos tradicionales (tejo y billar)</x:t>
  </x:si>
  <x:si>
    <x:t xml:space="preserve">Aprendiz</x:t>
  </x:si>
  <x:si>
    <x:t xml:space="preserve">Karo Julio</x:t>
  </x:si>
  <x:si>
    <x:t xml:space="preserve">Instructor</x:t>
  </x:si>
  <x:si>
    <x:t xml:space="preserve">Edicson Niño</x:t>
  </x:si>
  <x:si>
    <x:t xml:space="preserve">Lugar de elaboración</x:t>
  </x:si>
  <x:si>
    <x:t xml:space="preserve">Bogotá</x:t>
  </x:si>
  <x:si>
    <x:t xml:space="preserve">Fecha de elaboración</x:t>
  </x:si>
  <x:si>
    <x:t xml:space="preserve">Octubre de 2026</x:t>
  </x:si>
  <x:si>
    <x:t xml:space="preserve">Versión del documento</x:t>
  </x:si>
  <x:si>
    <x:t xml:space="preserve">1.0</x:t>
  </x:si>
  <x:si>
    <x:t xml:space="preserve">Estado del documento</x:t>
  </x:si>
  <x:si>
    <x:t xml:space="preserve">Objetivo general</x:t>
  </x:si>
  <x:si>
    <x:t xml:space="preserve">Alcance del diseño de pruebas</x:t>
  </x:si>
  <x:si>
    <x:t xml:space="preserve">Tipos de prueba contempladas</x:t>
  </x:si>
  <x:si>
    <x:t xml:space="preserve">Funcional · Validación de datos · Negativa · Seguridad y control de acceso · Integración (frontend–API–base de datos) · Interfaz y adaptabilidad.</x:t>
  </x:si>
  <x:si>
    <x:t xml:space="preserve">Herramientas previstas</x:t>
  </x:si>
  <x:si>
    <x:t xml:space="preserve">Tecnologías del proyecto</x:t>
  </x:si>
  <x:si>
    <x:t xml:space="preserve">Criterio de los resultados esperados</x:t>
  </x:si>
  <x:si>
    <x:t xml:space="preserve">Los resultados esperados son criterios de aceptación propuestos a partir del diseño del sistema. Los códigos HTTP y los comportamientos específicos indicados se toman como referencia y deben confirmarse con la implementación antes de ejecutar cada caso.</x:t>
  </x:si>
  <x:si>
    <x:t xml:space="preserve">Hojas del documento</x:t>
  </x:si>
  <x:si>
    <x:t xml:space="preserve">INFORMACIÓN GENERAL · MATRIZ GENERAL DE CASOS · AMBIENTE DE PRUEBAS · DATOS DE PRUEBA · TRAZABILIDAD · REGISTRO DE DEFECTOS · RESUMEN DE EJECUCIÓN · CRITERIOS Y ESTADOS</x:t>
  </x:si>
  <x:si>
    <x:t xml:space="preserve">Fecha de revisión</x:t>
  </x:si>
  <x:si>
    <x:t xml:space="preserve">Revisado por (nombre del analista)</x:t>
  </x:si>
  <x:si>
    <x:t xml:space="preserve">Firma o aprobación del analista</x:t>
  </x:si>
  <x:si>
    <x:t xml:space="preserve">Las celdas en amarillo se diligencian en la revisión del documento.</x:t>
  </x:si>
  <x:si>
    <x:t xml:space="preserve">MATRIZ GENERAL DE CASOS DE PRUEBA – DONDE JUANCA</x:t>
  </x:si>
  <x:si>
    <x:t xml:space="preserve">ID del caso</x:t>
  </x:si>
  <x:si>
    <x:t xml:space="preserve">Módulo</x:t>
  </x:si>
  <x:si>
    <x:t xml:space="preserve">Código de requisito / historia de usuario</x:t>
  </x:si>
  <x:si>
    <x:t xml:space="preserve">Nombre del caso de prueba</x:t>
  </x:si>
  <x:si>
    <x:t xml:space="preserve">Descripción y objetivo</x:t>
  </x:si>
  <x:si>
    <x:t xml:space="preserve">Tipo de prueba</x:t>
  </x:si>
  <x:si>
    <x:t xml:space="preserve">Prioridad</x:t>
  </x:si>
  <x:si>
    <x:t xml:space="preserve">Precondiciones</x:t>
  </x:si>
  <x:si>
    <x:t xml:space="preserve">Datos de entrada</x:t>
  </x:si>
  <x:si>
    <x:t xml:space="preserve">Pasos de ejecución</x:t>
  </x:si>
  <x:si>
    <x:t xml:space="preserve">Resultado esperado</x:t>
  </x:si>
  <x:si>
    <x:t xml:space="preserve">Resultado obtenido</x:t>
  </x:si>
  <x:si>
    <x:t xml:space="preserve">Ambiente de pruebas</x:t>
  </x:si>
  <x:si>
    <x:t xml:space="preserve">Herramienta utilizada</x:t>
  </x:si>
  <x:si>
    <x:t xml:space="preserve">Estado de ejecución</x:t>
  </x:si>
  <x:si>
    <x:t xml:space="preserve">Resultado de evaluación</x:t>
  </x:si>
  <x:si>
    <x:t xml:space="preserve">Severidad del defecto</x:t>
  </x:si>
  <x:si>
    <x:t xml:space="preserve">Código de incidencia o acción correctiva</x:t>
  </x:si>
  <x:si>
    <x:t xml:space="preserve">Evidencia</x:t>
  </x:si>
  <x:si>
    <x:t xml:space="preserve">Responsable</x:t>
  </x:si>
  <x:si>
    <x:t xml:space="preserve">Fecha de ejecución</x:t>
  </x:si>
  <x:si>
    <x:t xml:space="preserve">Observaciones</x:t>
  </x:si>
  <x:si>
    <x:t xml:space="preserve">CP-001</x:t>
  </x:si>
  <x:si>
    <x:t xml:space="preserve">Autenticación</x:t>
  </x:si>
  <x:si>
    <x:t xml:space="preserve">RQ-AUT-01 / HU01</x:t>
  </x:si>
  <x:si>
    <x:t xml:space="preserve">Inicio de sesión con credenciales válidas</x:t>
  </x:si>
  <x:si>
    <x:t xml:space="preserve">Verificar que un usuario registrado y activo accede al sistema con usuario y contraseña correctos.</x:t>
  </x:si>
  <x:si>
    <x:t xml:space="preserve">Funcional</x:t>
  </x:si>
  <x:si>
    <x:t xml:space="preserve">Alta</x:t>
  </x:si>
  <x:si>
    <x:t xml:space="preserve">Usuario de prueba registrado y activo en la base de datos; API y frontend en ejecución.</x:t>
  </x:si>
  <x:si>
    <x:t xml:space="preserve">Usuario: usuario.prueba01 · Contraseña: válida del usuario de prueba</x:t>
  </x:si>
  <x:si>
    <x:t xml:space="preserve">1. Abrir la pantalla de inicio de sesión.
2. Ingresar usuario y contraseña válidos.
3. Presionar Iniciar sesión.</x:t>
  </x:si>
  <x:si>
    <x:t xml:space="preserve">El sistema autentica al usuario, la API responde con un código de éxito (criterio propuesto: 200) y se muestra la pantalla principal acorde con su rol.</x:t>
  </x:si>
  <x:si>
    <x:t xml:space="preserve">CP-002</x:t>
  </x:si>
  <x:si>
    <x:t xml:space="preserve">Inicio de sesión con contraseña incorrecta</x:t>
  </x:si>
  <x:si>
    <x:t xml:space="preserve">Comprobar que el sistema rechaza el acceso cuando la contraseña no corresponde.</x:t>
  </x:si>
  <x:si>
    <x:t xml:space="preserve">Negativa</x:t>
  </x:si>
  <x:si>
    <x:t xml:space="preserve">Usuario de prueba registrado y activo.</x:t>
  </x:si>
  <x:si>
    <x:t xml:space="preserve">Usuario válido · Contraseña incorrecta</x:t>
  </x:si>
  <x:si>
    <x:t xml:space="preserve">1. Abrir la pantalla de inicio de sesión.
2. Ingresar usuario válido y contraseña incorrecta.
3. Presionar Iniciar sesión.</x:t>
  </x:si>
  <x:si>
    <x:t xml:space="preserve">El acceso es denegado, se muestra un mensaje de error claro sin revelar cuál dato falló y no se crea sesión.</x:t>
  </x:si>
  <x:si>
    <x:t xml:space="preserve">CP-003</x:t>
  </x:si>
  <x:si>
    <x:t xml:space="preserve">RQ-AUT-02 / HU01</x:t>
  </x:si>
  <x:si>
    <x:t xml:space="preserve">Inicio de sesión con campos vacíos</x:t>
  </x:si>
  <x:si>
    <x:t xml:space="preserve">Validar el manejo de campos obligatorios en el formulario de acceso.</x:t>
  </x:si>
  <x:si>
    <x:t xml:space="preserve">Validación</x:t>
  </x:si>
  <x:si>
    <x:t xml:space="preserve">Media</x:t>
  </x:si>
  <x:si>
    <x:t xml:space="preserve">Pantalla de inicio de sesión disponible.</x:t>
  </x:si>
  <x:si>
    <x:t xml:space="preserve">Usuario vacío · Contraseña vacía</x:t>
  </x:si>
  <x:si>
    <x:t xml:space="preserve">1. Dejar ambos campos vacíos.
2. Presionar Iniciar sesión.</x:t>
  </x:si>
  <x:si>
    <x:t xml:space="preserve">El formulario indica los campos obligatorios y no envía la solicitud de autenticación.</x:t>
  </x:si>
  <x:si>
    <x:t xml:space="preserve">CP-004</x:t>
  </x:si>
  <x:si>
    <x:t xml:space="preserve">RQ-AUT-03 / HU01</x:t>
  </x:si>
  <x:si>
    <x:t xml:space="preserve">Acceso a una ruta protegida sin sesión</x:t>
  </x:si>
  <x:si>
    <x:t xml:space="preserve">Verificar que las rutas privadas no son accesibles sin autenticación.</x:t>
  </x:si>
  <x:si>
    <x:t xml:space="preserve">Seguridad</x:t>
  </x:si>
  <x:si>
    <x:t xml:space="preserve">Ninguna sesión iniciada.</x:t>
  </x:si>
  <x:si>
    <x:t xml:space="preserve">URL directa de un módulo privado; petición a /api/usuarios sin credenciales</x:t>
  </x:si>
  <x:si>
    <x:t xml:space="preserve">1. Abrir una URL privada del frontend sin iniciar sesión.
2. Enviar una petición GET a /api/usuarios sin credenciales desde Postman.</x:t>
  </x:si>
  <x:si>
    <x:t xml:space="preserve">El frontend redirige al inicio de sesión y la API responde con un código de acceso no autorizado (criterio propuesto: 401 o 403).</x:t>
  </x:si>
  <x:si>
    <x:t xml:space="preserve">CP-005</x:t>
  </x:si>
  <x:si>
    <x:t xml:space="preserve">Usuarios y roles</x:t>
  </x:si>
  <x:si>
    <x:t xml:space="preserve">RQ-USR-01 / HU02</x:t>
  </x:si>
  <x:si>
    <x:t xml:space="preserve">Consulta del listado de usuarios</x:t>
  </x:si>
  <x:si>
    <x:t xml:space="preserve">Verificar que un administrador obtiene el listado de usuarios registrados.</x:t>
  </x:si>
  <x:si>
    <x:t xml:space="preserve">Sesión iniciada con perfil administrador; existen usuarios registrados.</x:t>
  </x:si>
  <x:si>
    <x:t xml:space="preserve">Sin datos adicionales</x:t>
  </x:si>
  <x:si>
    <x:t xml:space="preserve">1. Iniciar sesión como administrador.
2. Abrir el módulo de usuarios.
3. Consultar el listado.</x:t>
  </x:si>
  <x:si>
    <x:t xml:space="preserve">Se muestran los usuarios con sus datos básicos y rol, sin exponer contraseñas.</x:t>
  </x:si>
  <x:si>
    <x:t xml:space="preserve">CP-006</x:t>
  </x:si>
  <x:si>
    <x:t xml:space="preserve">RQ-USR-02 / HU02</x:t>
  </x:si>
  <x:si>
    <x:t xml:space="preserve">Registro de un nuevo usuario</x:t>
  </x:si>
  <x:si>
    <x:t xml:space="preserve">Comprobar la creación de un usuario con datos válidos y un rol asignado.</x:t>
  </x:si>
  <x:si>
    <x:t xml:space="preserve">Sesión de administrador; el correo o usuario a registrar no existe.</x:t>
  </x:si>
  <x:si>
    <x:t xml:space="preserve">Nombre: Usuario Prueba · Usuario: prueba.mesero · Rol: Mesero · Contraseña válida</x:t>
  </x:si>
  <x:si>
    <x:t xml:space="preserve">1. Abrir el formulario de nuevo usuario.
2. Diligenciar los datos y seleccionar el rol.
3. Guardar.</x:t>
  </x:si>
  <x:si>
    <x:t xml:space="preserve">El usuario se crea, la contraseña se almacena protegida (no en texto plano) y aparece en el listado.</x:t>
  </x:si>
  <x:si>
    <x:t xml:space="preserve">CP-007</x:t>
  </x:si>
  <x:si>
    <x:t xml:space="preserve">Registro de usuario con identificador duplicado</x:t>
  </x:si>
  <x:si>
    <x:t xml:space="preserve">Verificar que no se permiten dos usuarios con el mismo identificador.</x:t>
  </x:si>
  <x:si>
    <x:t xml:space="preserve">Existe un usuario con el identificador a duplicar.</x:t>
  </x:si>
  <x:si>
    <x:t xml:space="preserve">Usuario ya registrado</x:t>
  </x:si>
  <x:si>
    <x:t xml:space="preserve">1. Intentar registrar un usuario con un identificador existente.
2. Guardar.</x:t>
  </x:si>
  <x:si>
    <x:t xml:space="preserve">El sistema rechaza el registro e informa que el identificador ya existe; no se crea un segundo registro.</x:t>
  </x:si>
  <x:si>
    <x:t xml:space="preserve">CP-008</x:t>
  </x:si>
  <x:si>
    <x:t xml:space="preserve">RQ-USR-03 / HU02</x:t>
  </x:si>
  <x:si>
    <x:t xml:space="preserve">Edición del rol de un usuario</x:t>
  </x:si>
  <x:si>
    <x:t xml:space="preserve">Validar que el administrador puede cambiar el perfil asignado a un usuario.</x:t>
  </x:si>
  <x:si>
    <x:t xml:space="preserve">Sesión de administrador; usuario de prueba existente.</x:t>
  </x:si>
  <x:si>
    <x:t xml:space="preserve">Rol actual: Mesero · Rol nuevo: Cajero</x:t>
  </x:si>
  <x:si>
    <x:t xml:space="preserve">1. Abrir el usuario de prueba.
2. Cambiar el rol.
3. Guardar y consultar nuevamente.</x:t>
  </x:si>
  <x:si>
    <x:t xml:space="preserve">El rol se actualiza y el usuario conserva el resto de sus datos.</x:t>
  </x:si>
  <x:si>
    <x:t xml:space="preserve">CP-009</x:t>
  </x:si>
  <x:si>
    <x:t xml:space="preserve">RQ-USR-04 / HU02</x:t>
  </x:si>
  <x:si>
    <x:t xml:space="preserve">Restricción de permisos para un rol no administrador</x:t>
  </x:si>
  <x:si>
    <x:t xml:space="preserve">Verificar que un perfil sin privilegios no puede administrar usuarios.</x:t>
  </x:si>
  <x:si>
    <x:t xml:space="preserve">Sesión iniciada con un rol no administrador.</x:t>
  </x:si>
  <x:si>
    <x:t xml:space="preserve">Petición de creación de usuario con el token del rol no administrador</x:t>
  </x:si>
  <x:si>
    <x:t xml:space="preserve">1. Iniciar sesión con un rol no administrador.
2. Intentar abrir el módulo de usuarios o enviar POST /api/usuarios.</x:t>
  </x:si>
  <x:si>
    <x:t xml:space="preserve">El acceso es denegado en la interfaz y la API responde con un código de acceso denegado (criterio propuesto: 403 o equivalente).</x:t>
  </x:si>
  <x:si>
    <x:t xml:space="preserve">CP-010</x:t>
  </x:si>
  <x:si>
    <x:t xml:space="preserve">Categorías</x:t>
  </x:si>
  <x:si>
    <x:t xml:space="preserve">RQ-CAT-01 / HU provisional</x:t>
  </x:si>
  <x:si>
    <x:t xml:space="preserve">Registro de una categoría</x:t>
  </x:si>
  <x:si>
    <x:t xml:space="preserve">Verificar la creación de una categoría con nombre válido.</x:t>
  </x:si>
  <x:si>
    <x:t xml:space="preserve">Sesión con permisos de administración.</x:t>
  </x:si>
  <x:si>
    <x:t xml:space="preserve">Nombre: Cervezas</x:t>
  </x:si>
  <x:si>
    <x:t xml:space="preserve">1. Abrir el módulo de categorías.
2. Ingresar el nombre.
3. Guardar.</x:t>
  </x:si>
  <x:si>
    <x:t xml:space="preserve">La categoría se crea y se muestra en el listado.</x:t>
  </x:si>
  <x:si>
    <x:t xml:space="preserve">CP-011</x:t>
  </x:si>
  <x:si>
    <x:t xml:space="preserve">Registro de categoría con nombre vacío o duplicado</x:t>
  </x:si>
  <x:si>
    <x:t xml:space="preserve">Validar las restricciones del nombre de categoría.</x:t>
  </x:si>
  <x:si>
    <x:t xml:space="preserve">Existe la categoría 'Cervezas'.</x:t>
  </x:si>
  <x:si>
    <x:t xml:space="preserve">Nombre vacío; nombre duplicado 'Cervezas'</x:t>
  </x:si>
  <x:si>
    <x:t xml:space="preserve">1. Intentar guardar una categoría sin nombre.
2. Intentar guardar otra con el nombre 'Cervezas'.</x:t>
  </x:si>
  <x:si>
    <x:t xml:space="preserve">El sistema rechaza ambos intentos con mensajes claros y no crea registros nuevos.</x:t>
  </x:si>
  <x:si>
    <x:t xml:space="preserve">CP-012</x:t>
  </x:si>
  <x:si>
    <x:t xml:space="preserve">RQ-CAT-02 / HU provisional</x:t>
  </x:si>
  <x:si>
    <x:t xml:space="preserve">Consulta de categorías</x:t>
  </x:si>
  <x:si>
    <x:t xml:space="preserve">Comprobar que la API devuelve el listado de categorías en formato JSON.</x:t>
  </x:si>
  <x:si>
    <x:t xml:space="preserve">Existen categorías registradas.</x:t>
  </x:si>
  <x:si>
    <x:t xml:space="preserve">GET /api/categorias</x:t>
  </x:si>
  <x:si>
    <x:t xml:space="preserve">1. Enviar GET a /api/categorias.
2. Revisar código de estado y cuerpo de la respuesta.</x:t>
  </x:si>
  <x:si>
    <x:t xml:space="preserve">Código de éxito (criterio propuesto: 200) y arreglo JSON con las categorías registradas.</x:t>
  </x:si>
  <x:si>
    <x:t xml:space="preserve">CP-013</x:t>
  </x:si>
  <x:si>
    <x:t xml:space="preserve">RQ-CAT-03 / HU provisional</x:t>
  </x:si>
  <x:si>
    <x:t xml:space="preserve">Actualización del nombre de una categoría</x:t>
  </x:si>
  <x:si>
    <x:t xml:space="preserve">Verificar la modificación de una categoría existente.</x:t>
  </x:si>
  <x:si>
    <x:t xml:space="preserve">Baja</x:t>
  </x:si>
  <x:si>
    <x:t xml:space="preserve">Categoría de prueba existente.</x:t>
  </x:si>
  <x:si>
    <x:t xml:space="preserve">Nombre nuevo: Cervezas nacionales</x:t>
  </x:si>
  <x:si>
    <x:t xml:space="preserve">1. Seleccionar la categoría.
2. Cambiar el nombre.
3. Guardar y consultar.</x:t>
  </x:si>
  <x:si>
    <x:t xml:space="preserve">El nombre se actualiza y los productos asociados mantienen su relación.</x:t>
  </x:si>
  <x:si>
    <x:t xml:space="preserve">CP-014</x:t>
  </x:si>
  <x:si>
    <x:t xml:space="preserve">Productos</x:t>
  </x:si>
  <x:si>
    <x:t xml:space="preserve">RQ-PRO-01 / HU provisional</x:t>
  </x:si>
  <x:si>
    <x:t xml:space="preserve">Creación de un producto con datos válidos</x:t>
  </x:si>
  <x:si>
    <x:t xml:space="preserve">Verificar el registro de un producto asociado a una categoría existente.</x:t>
  </x:si>
  <x:si>
    <x:t xml:space="preserve">Categoría existente; sesión con permisos.</x:t>
  </x:si>
  <x:si>
    <x:t xml:space="preserve">Nombre: Cerveza de prueba · Precio: valor numérico positivo · Categoría: existente</x:t>
  </x:si>
  <x:si>
    <x:t xml:space="preserve">1. Abrir el formulario de producto.
2. Diligenciar los datos y elegir la categoría.
3. Guardar.</x:t>
  </x:si>
  <x:si>
    <x:t xml:space="preserve">El producto se crea con su categoría y aparece en el listado y en la base de datos.</x:t>
  </x:si>
  <x:si>
    <x:t xml:space="preserve">CP-015</x:t>
  </x:si>
  <x:si>
    <x:t xml:space="preserve">Creación de producto con precio inválido</x:t>
  </x:si>
  <x:si>
    <x:t xml:space="preserve">Validar el rechazo de precios negativos, cero o no numéricos.</x:t>
  </x:si>
  <x:si>
    <x:t xml:space="preserve">Sesión con permisos.</x:t>
  </x:si>
  <x:si>
    <x:t xml:space="preserve">Precio: -1000 · Precio: texto</x:t>
  </x:si>
  <x:si>
    <x:t xml:space="preserve">1. Intentar crear un producto con precio negativo.
2. Repetir con un precio no numérico.</x:t>
  </x:si>
  <x:si>
    <x:t xml:space="preserve">El sistema rechaza la operación con un mensaje de validación y no guarda el producto.</x:t>
  </x:si>
  <x:si>
    <x:t xml:space="preserve">CP-016</x:t>
  </x:si>
  <x:si>
    <x:t xml:space="preserve">Creación de producto con categoría inexistente</x:t>
  </x:si>
  <x:si>
    <x:t xml:space="preserve">Comprobar la integridad referencial entre producto y categoría.</x:t>
  </x:si>
  <x:si>
    <x:t xml:space="preserve">Sesión con permisos; se conoce un identificador de categoría que no existe.</x:t>
  </x:si>
  <x:si>
    <x:t xml:space="preserve">Categoría: identificador inexistente</x:t>
  </x:si>
  <x:si>
    <x:t xml:space="preserve">1. Enviar POST a /api/productos con una categoría inexistente.</x:t>
  </x:si>
  <x:si>
    <x:t xml:space="preserve">La API responde con error de validación y no se inserta el registro.</x:t>
  </x:si>
  <x:si>
    <x:t xml:space="preserve">CP-017</x:t>
  </x:si>
  <x:si>
    <x:t xml:space="preserve">RQ-PRO-02 / HU provisional</x:t>
  </x:si>
  <x:si>
    <x:t xml:space="preserve">Consulta de productos</x:t>
  </x:si>
  <x:si>
    <x:t xml:space="preserve">Verificar el listado y la consulta individual de productos.</x:t>
  </x:si>
  <x:si>
    <x:t xml:space="preserve">Existen productos registrados.</x:t>
  </x:si>
  <x:si>
    <x:t xml:space="preserve">GET /api/productos · consulta por identificador</x:t>
  </x:si>
  <x:si>
    <x:t xml:space="preserve">1. Consultar el listado.
2. Consultar un producto por su identificador.
3. Consultar un identificador inexistente.</x:t>
  </x:si>
  <x:si>
    <x:t xml:space="preserve">Código de éxito (criterio propuesto: 200) con los datos esperados; para el identificador inexistente, un error controlado (criterio propuesto: 404 o equivalente).</x:t>
  </x:si>
  <x:si>
    <x:t xml:space="preserve">CP-018</x:t>
  </x:si>
  <x:si>
    <x:t xml:space="preserve">RQ-PRO-03 / HU provisional</x:t>
  </x:si>
  <x:si>
    <x:t xml:space="preserve">Actualización de un producto</x:t>
  </x:si>
  <x:si>
    <x:t xml:space="preserve">Validar la modificación de precio y datos del producto.</x:t>
  </x:si>
  <x:si>
    <x:t xml:space="preserve">Producto de prueba existente.</x:t>
  </x:si>
  <x:si>
    <x:t xml:space="preserve">Precio nuevo: valor numérico positivo</x:t>
  </x:si>
  <x:si>
    <x:t xml:space="preserve">1. Abrir el producto.
2. Modificar el precio.
3. Guardar y consultar.</x:t>
  </x:si>
  <x:si>
    <x:t xml:space="preserve">El dato se actualiza y se refleja en el listado y en la base de datos.</x:t>
  </x:si>
  <x:si>
    <x:t xml:space="preserve">CP-019</x:t>
  </x:si>
  <x:si>
    <x:t xml:space="preserve">Inventario</x:t>
  </x:si>
  <x:si>
    <x:t xml:space="preserve">RQ-INV-01 / HU provisional</x:t>
  </x:si>
  <x:si>
    <x:t xml:space="preserve">Consulta de existencias</x:t>
  </x:si>
  <x:si>
    <x:t xml:space="preserve">Verificar que se visualizan las cantidades disponibles por producto.</x:t>
  </x:si>
  <x:si>
    <x:t xml:space="preserve">Productos con existencias registradas.</x:t>
  </x:si>
  <x:si>
    <x:t xml:space="preserve">GET /api/inventario</x:t>
  </x:si>
  <x:si>
    <x:t xml:space="preserve">1. Abrir el módulo de inventario.
2. Consultar existencias.</x:t>
  </x:si>
  <x:si>
    <x:t xml:space="preserve">Se listan los productos con sus cantidades coherentes con la base de datos.</x:t>
  </x:si>
  <x:si>
    <x:t xml:space="preserve">CP-020</x:t>
  </x:si>
  <x:si>
    <x:t xml:space="preserve">RQ-INV-02 / HU provisional</x:t>
  </x:si>
  <x:si>
    <x:t xml:space="preserve">Actualización de cantidades por entrada</x:t>
  </x:si>
  <x:si>
    <x:t xml:space="preserve">Comprobar que una entrada de mercancía incrementa la existencia.</x:t>
  </x:si>
  <x:si>
    <x:t xml:space="preserve">Producto con existencia conocida.</x:t>
  </x:si>
  <x:si>
    <x:t xml:space="preserve">Cantidad de entrada: entero positivo</x:t>
  </x:si>
  <x:si>
    <x:t xml:space="preserve">1. Registrar una entrada para el producto.
2. Consultar la existencia.</x:t>
  </x:si>
  <x:si>
    <x:t xml:space="preserve">La existencia aumenta exactamente en la cantidad ingresada y queda el movimiento registrado cuando el diseño lo contemple.</x:t>
  </x:si>
  <x:si>
    <x:t xml:space="preserve">CP-021</x:t>
  </x:si>
  <x:si>
    <x:t xml:space="preserve">Actualización de inventario con cantidad inválida</x:t>
  </x:si>
  <x:si>
    <x:t xml:space="preserve">Validar el rechazo de cantidades negativas, decimales no permitidos o texto.</x:t>
  </x:si>
  <x:si>
    <x:t xml:space="preserve">Cantidad: -5 · Cantidad: texto</x:t>
  </x:si>
  <x:si>
    <x:t xml:space="preserve">1. Intentar registrar un movimiento con cantidad negativa.
2. Repetir con texto.</x:t>
  </x:si>
  <x:si>
    <x:t xml:space="preserve">La operación es rechazada y la existencia no cambia.</x:t>
  </x:si>
  <x:si>
    <x:t xml:space="preserve">CP-022</x:t>
  </x:si>
  <x:si>
    <x:t xml:space="preserve">RQ-INV-03 / HU provisional</x:t>
  </x:si>
  <x:si>
    <x:t xml:space="preserve">Salida superior a la existencia disponible</x:t>
  </x:si>
  <x:si>
    <x:t xml:space="preserve">Verificar que el sistema impide dejar existencias negativas.</x:t>
  </x:si>
  <x:si>
    <x:t xml:space="preserve">Cantidad de salida mayor a la existencia</x:t>
  </x:si>
  <x:si>
    <x:t xml:space="preserve">1. Registrar una salida mayor a la existencia disponible.</x:t>
  </x:si>
  <x:si>
    <x:t xml:space="preserve">El sistema rechaza la operación con un mensaje claro y la existencia se mantiene.</x:t>
  </x:si>
  <x:si>
    <x:t xml:space="preserve">CP-023</x:t>
  </x:si>
  <x:si>
    <x:t xml:space="preserve">RQ-INV-04 / HU provisional</x:t>
  </x:si>
  <x:si>
    <x:t xml:space="preserve">Alerta por existencias bajas</x:t>
  </x:si>
  <x:si>
    <x:t xml:space="preserve">Comprobar la notificación de productos con inventario bajo, si el diseño la contempla.</x:t>
  </x:si>
  <x:si>
    <x:t xml:space="preserve">Producto con umbral mínimo definido y existencia por debajo del umbral.</x:t>
  </x:si>
  <x:si>
    <x:t xml:space="preserve">Umbral mínimo definido para el producto</x:t>
  </x:si>
  <x:si>
    <x:t xml:space="preserve">1. Dejar la existencia por debajo del umbral.
2. Consultar el módulo de inventario.</x:t>
  </x:si>
  <x:si>
    <x:t xml:space="preserve">El producto se identifica como de inventario bajo según la regla definida.</x:t>
  </x:si>
  <x:si>
    <x:t xml:space="preserve">CP-024</x:t>
  </x:si>
  <x:si>
    <x:t xml:space="preserve">Mesas</x:t>
  </x:si>
  <x:si>
    <x:t xml:space="preserve">RQ-MES-01 / HU provisional</x:t>
  </x:si>
  <x:si>
    <x:t xml:space="preserve">Consulta de mesas y su estado</x:t>
  </x:si>
  <x:si>
    <x:t xml:space="preserve">Verificar el listado de mesas con su disponibilidad.</x:t>
  </x:si>
  <x:si>
    <x:t xml:space="preserve">Mesas registradas.</x:t>
  </x:si>
  <x:si>
    <x:t xml:space="preserve">GET /api/mesas</x:t>
  </x:si>
  <x:si>
    <x:t xml:space="preserve">1. Abrir el módulo de mesas.
2. Consultar el listado.</x:t>
  </x:si>
  <x:si>
    <x:t xml:space="preserve">Se muestran las mesas con su estado (disponible u ocupada).</x:t>
  </x:si>
  <x:si>
    <x:t xml:space="preserve">CP-025</x:t>
  </x:si>
  <x:si>
    <x:t xml:space="preserve">RQ-MES-02 / HU provisional</x:t>
  </x:si>
  <x:si>
    <x:t xml:space="preserve">Cambio de estado de una mesa a ocupada</x:t>
  </x:si>
  <x:si>
    <x:t xml:space="preserve">Validar la transición de disponible a ocupada.</x:t>
  </x:si>
  <x:si>
    <x:t xml:space="preserve">Mesa en estado disponible.</x:t>
  </x:si>
  <x:si>
    <x:t xml:space="preserve">Mesa de prueba</x:t>
  </x:si>
  <x:si>
    <x:t xml:space="preserve">1. Seleccionar la mesa disponible.
2. Marcarla como ocupada (o crear un pedido asociado).
3. Consultar el estado.</x:t>
  </x:si>
  <x:si>
    <x:t xml:space="preserve">El estado cambia a ocupada y se refleja en la interfaz y en la base de datos.</x:t>
  </x:si>
  <x:si>
    <x:t xml:space="preserve">CP-026</x:t>
  </x:si>
  <x:si>
    <x:t xml:space="preserve">Asignación de una mesa ya ocupada</x:t>
  </x:si>
  <x:si>
    <x:t xml:space="preserve">Comprobar que no se permite abrir un segundo pedido sobre una mesa ocupada sin la acción prevista.</x:t>
  </x:si>
  <x:si>
    <x:t xml:space="preserve">Mesa en estado ocupada.</x:t>
  </x:si>
  <x:si>
    <x:t xml:space="preserve">Mesa ocupada</x:t>
  </x:si>
  <x:si>
    <x:t xml:space="preserve">1. Intentar asignar un nuevo pedido a la mesa ocupada.</x:t>
  </x:si>
  <x:si>
    <x:t xml:space="preserve">El sistema impide la asignación o exige la acción definida por la regla del negocio.</x:t>
  </x:si>
  <x:si>
    <x:t xml:space="preserve">CP-027</x:t>
  </x:si>
  <x:si>
    <x:t xml:space="preserve">Pedidos</x:t>
  </x:si>
  <x:si>
    <x:t xml:space="preserve">RQ-PED-01 / HU03</x:t>
  </x:si>
  <x:si>
    <x:t xml:space="preserve">Creación de un pedido asociado a una mesa</x:t>
  </x:si>
  <x:si>
    <x:t xml:space="preserve">Verificar el registro de un pedido con productos para una mesa disponible.</x:t>
  </x:si>
  <x:si>
    <x:t xml:space="preserve">Mesa disponible; productos con existencias.</x:t>
  </x:si>
  <x:si>
    <x:t xml:space="preserve">Mesa de prueba · 2 productos con cantidades válidas</x:t>
  </x:si>
  <x:si>
    <x:t xml:space="preserve">1. Seleccionar la mesa.
2. Agregar productos y cantidades.
3. Confirmar el pedido.</x:t>
  </x:si>
  <x:si>
    <x:t xml:space="preserve">El pedido se crea con estado inicial, queda asociado a la mesa y el total corresponde a la suma de los productos.</x:t>
  </x:si>
  <x:si>
    <x:t xml:space="preserve">CP-028</x:t>
  </x:si>
  <x:si>
    <x:t xml:space="preserve">Creación de pedido sin productos</x:t>
  </x:si>
  <x:si>
    <x:t xml:space="preserve">Validar que no se registran pedidos vacíos.</x:t>
  </x:si>
  <x:si>
    <x:t xml:space="preserve">Mesa disponible.</x:t>
  </x:si>
  <x:si>
    <x:t xml:space="preserve">Lista de productos vacía</x:t>
  </x:si>
  <x:si>
    <x:t xml:space="preserve">1. Intentar confirmar un pedido sin productos.</x:t>
  </x:si>
  <x:si>
    <x:t xml:space="preserve">El sistema rechaza la operación e indica que se requiere al menos un producto.</x:t>
  </x:si>
  <x:si>
    <x:t xml:space="preserve">CP-029</x:t>
  </x:si>
  <x:si>
    <x:t xml:space="preserve">RQ-PED-02 / HU03</x:t>
  </x:si>
  <x:si>
    <x:t xml:space="preserve">Consulta de pedidos</x:t>
  </x:si>
  <x:si>
    <x:t xml:space="preserve">Verificar la consulta del listado y de un pedido por identificador.</x:t>
  </x:si>
  <x:si>
    <x:t xml:space="preserve">Existen pedidos registrados.</x:t>
  </x:si>
  <x:si>
    <x:t xml:space="preserve">GET /api/pedidos · identificador existente e inexistente</x:t>
  </x:si>
  <x:si>
    <x:t xml:space="preserve">1. Consultar el listado.
2. Consultar un pedido existente.
3. Consultar un identificador inexistente.</x:t>
  </x:si>
  <x:si>
    <x:t xml:space="preserve">Código de éxito (criterio propuesto: 200) con datos correctos; error controlado para el identificador inexistente.</x:t>
  </x:si>
  <x:si>
    <x:t xml:space="preserve">CP-030</x:t>
  </x:si>
  <x:si>
    <x:t xml:space="preserve">RQ-PED-03 / HU03</x:t>
  </x:si>
  <x:si>
    <x:t xml:space="preserve">Cambio de estado de un pedido</x:t>
  </x:si>
  <x:si>
    <x:t xml:space="preserve">Validar las transiciones de estado definidas para el pedido.</x:t>
  </x:si>
  <x:si>
    <x:t xml:space="preserve">Pedido en estado inicial.</x:t>
  </x:si>
  <x:si>
    <x:t xml:space="preserve">Estado nuevo: según el flujo definido</x:t>
  </x:si>
  <x:si>
    <x:t xml:space="preserve">1. Cambiar el estado del pedido al siguiente del flujo.
2. Intentar una transición no permitida.</x:t>
  </x:si>
  <x:si>
    <x:t xml:space="preserve">La transición válida se registra; la no permitida es rechazada.</x:t>
  </x:si>
  <x:si>
    <x:t xml:space="preserve">CP-031</x:t>
  </x:si>
  <x:si>
    <x:t xml:space="preserve">Pagos</x:t>
  </x:si>
  <x:si>
    <x:t xml:space="preserve">RQ-PAG-01 / HU04</x:t>
  </x:si>
  <x:si>
    <x:t xml:space="preserve">Registro de un pago asociado a un pedido</x:t>
  </x:si>
  <x:si>
    <x:t xml:space="preserve">Verificar el registro de un pago con importe correcto para un pedido existente.</x:t>
  </x:si>
  <x:si>
    <x:t xml:space="preserve">Pedido existente con total conocido.</x:t>
  </x:si>
  <x:si>
    <x:t xml:space="preserve">Importe igual al total · Método de pago: efectivo</x:t>
  </x:si>
  <x:si>
    <x:t xml:space="preserve">1. Seleccionar el pedido.
2. Registrar el pago con el importe del total.</x:t>
  </x:si>
  <x:si>
    <x:t xml:space="preserve">El pago queda registrado y vinculado al pedido, y el pedido refleja su estado de pago.</x:t>
  </x:si>
  <x:si>
    <x:t xml:space="preserve">CP-032</x:t>
  </x:si>
  <x:si>
    <x:t xml:space="preserve">Registro de pago con importe inválido</x:t>
  </x:si>
  <x:si>
    <x:t xml:space="preserve">Validar el rechazo de importes cero, negativos o no numéricos.</x:t>
  </x:si>
  <x:si>
    <x:t xml:space="preserve">Pedido existente.</x:t>
  </x:si>
  <x:si>
    <x:t xml:space="preserve">Importe: 0 · Importe: -1000 · Importe: texto</x:t>
  </x:si>
  <x:si>
    <x:t xml:space="preserve">1. Intentar registrar el pago con cada importe inválido.</x:t>
  </x:si>
  <x:si>
    <x:t xml:space="preserve">El sistema rechaza cada intento con un mensaje de validación y no registra pagos.</x:t>
  </x:si>
  <x:si>
    <x:t xml:space="preserve">CP-033</x:t>
  </x:si>
  <x:si>
    <x:t xml:space="preserve">Registro de pago para un pedido inexistente</x:t>
  </x:si>
  <x:si>
    <x:t xml:space="preserve">Comprobar la integridad referencial entre pago y pedido.</x:t>
  </x:si>
  <x:si>
    <x:t xml:space="preserve">Se conoce un identificador de pedido inexistente.</x:t>
  </x:si>
  <x:si>
    <x:t xml:space="preserve">Pedido: identificador inexistente</x:t>
  </x:si>
  <x:si>
    <x:t xml:space="preserve">1. Enviar POST a /api/pagos con un pedido inexistente.</x:t>
  </x:si>
  <x:si>
    <x:t xml:space="preserve">La API responde con error controlado y no inserta el registro.</x:t>
  </x:si>
  <x:si>
    <x:t xml:space="preserve">CP-034</x:t>
  </x:si>
  <x:si>
    <x:t xml:space="preserve">RQ-PAG-02 / HU04</x:t>
  </x:si>
  <x:si>
    <x:t xml:space="preserve">Consulta de pagos de un pedido</x:t>
  </x:si>
  <x:si>
    <x:t xml:space="preserve">Verificar la consulta de pagos y su relación con el pedido.</x:t>
  </x:si>
  <x:si>
    <x:t xml:space="preserve">Pedido con pagos registrados.</x:t>
  </x:si>
  <x:si>
    <x:t xml:space="preserve">GET /api/pagos</x:t>
  </x:si>
  <x:si>
    <x:t xml:space="preserve">1. Consultar el listado de pagos.
2. Verificar la relación con el pedido.</x:t>
  </x:si>
  <x:si>
    <x:t xml:space="preserve">Se devuelven los pagos con los datos del pedido asociado.</x:t>
  </x:si>
  <x:si>
    <x:t xml:space="preserve">CP-035</x:t>
  </x:si>
  <x:si>
    <x:t xml:space="preserve">Juegos</x:t>
  </x:si>
  <x:si>
    <x:t xml:space="preserve">RQ-JUE-01 / HU provisional</x:t>
  </x:si>
  <x:si>
    <x:t xml:space="preserve">Consulta de disponibilidad de juegos</x:t>
  </x:si>
  <x:si>
    <x:t xml:space="preserve">Verificar el listado de mesas o canchas de tejo y billar con su disponibilidad.</x:t>
  </x:si>
  <x:si>
    <x:t xml:space="preserve">Juegos registrados.</x:t>
  </x:si>
  <x:si>
    <x:t xml:space="preserve">GET /api/juegos</x:t>
  </x:si>
  <x:si>
    <x:t xml:space="preserve">1. Abrir el módulo de juegos.
2. Consultar la disponibilidad.</x:t>
  </x:si>
  <x:si>
    <x:t xml:space="preserve">Se muestran los juegos con su estado de disponibilidad.</x:t>
  </x:si>
  <x:si>
    <x:t xml:space="preserve">CP-036</x:t>
  </x:si>
  <x:si>
    <x:t xml:space="preserve">RQ-JUE-02 / HU provisional</x:t>
  </x:si>
  <x:si>
    <x:t xml:space="preserve">Inicio de una sesión de uso de juego</x:t>
  </x:si>
  <x:si>
    <x:t xml:space="preserve">Validar el registro del inicio de una sesión sobre un juego disponible.</x:t>
  </x:si>
  <x:si>
    <x:t xml:space="preserve">Juego disponible.</x:t>
  </x:si>
  <x:si>
    <x:t xml:space="preserve">Juego: billar o tejo disponible</x:t>
  </x:si>
  <x:si>
    <x:t xml:space="preserve">1. Seleccionar el juego.
2. Iniciar la sesión de uso.</x:t>
  </x:si>
  <x:si>
    <x:t xml:space="preserve">La sesión se registra con su hora de inicio y el juego pasa a estado ocupado.</x:t>
  </x:si>
  <x:si>
    <x:t xml:space="preserve">CP-037</x:t>
  </x:si>
  <x:si>
    <x:t xml:space="preserve">Inicio de sesión sobre un juego ocupado</x:t>
  </x:si>
  <x:si>
    <x:t xml:space="preserve">Comprobar que no se abre una segunda sesión sobre un juego en uso.</x:t>
  </x:si>
  <x:si>
    <x:t xml:space="preserve">Juego con sesión activa.</x:t>
  </x:si>
  <x:si>
    <x:t xml:space="preserve">Juego ocupado</x:t>
  </x:si>
  <x:si>
    <x:t xml:space="preserve">1. Intentar iniciar otra sesión en el mismo juego.</x:t>
  </x:si>
  <x:si>
    <x:t xml:space="preserve">El sistema rechaza la operación e informa que el juego está ocupado.</x:t>
  </x:si>
  <x:si>
    <x:t xml:space="preserve">CP-038</x:t>
  </x:si>
  <x:si>
    <x:t xml:space="preserve">RQ-JUE-03 / HU provisional</x:t>
  </x:si>
  <x:si>
    <x:t xml:space="preserve">Finalización de una sesión de uso</x:t>
  </x:si>
  <x:si>
    <x:t xml:space="preserve">Verificar el cierre de la sesión y la liberación del juego.</x:t>
  </x:si>
  <x:si>
    <x:t xml:space="preserve">Sesión de juego activa.</x:t>
  </x:si>
  <x:si>
    <x:t xml:space="preserve">Sesión activa de prueba</x:t>
  </x:si>
  <x:si>
    <x:t xml:space="preserve">1. Finalizar la sesión.
2. Consultar el estado del juego.</x:t>
  </x:si>
  <x:si>
    <x:t xml:space="preserve">La sesión queda cerrada con su hora de fin y el juego vuelve a estar disponible.</x:t>
  </x:si>
  <x:si>
    <x:t xml:space="preserve">CP-039</x:t>
  </x:si>
  <x:si>
    <x:t xml:space="preserve">Clientes</x:t>
  </x:si>
  <x:si>
    <x:t xml:space="preserve">RQ-CLI-01 / HU provisional</x:t>
  </x:si>
  <x:si>
    <x:t xml:space="preserve">Registro de un cliente</x:t>
  </x:si>
  <x:si>
    <x:t xml:space="preserve">Verificar el registro de un cliente con datos válidos.</x:t>
  </x:si>
  <x:si>
    <x:t xml:space="preserve">Nombre: Cliente Prueba · Teléfono: número válido</x:t>
  </x:si>
  <x:si>
    <x:t xml:space="preserve">1. Abrir el formulario de cliente.
2. Diligenciar los datos.
3. Guardar.</x:t>
  </x:si>
  <x:si>
    <x:t xml:space="preserve">El cliente se registra y aparece en el listado.</x:t>
  </x:si>
  <x:si>
    <x:t xml:space="preserve">CP-040</x:t>
  </x:si>
  <x:si>
    <x:t xml:space="preserve">Registro de cliente con datos inválidos</x:t>
  </x:si>
  <x:si>
    <x:t xml:space="preserve">Validar el manejo de nombre vacío y teléfono con formato incorrecto.</x:t>
  </x:si>
  <x:si>
    <x:t xml:space="preserve">Nombre vacío · Teléfono con letras</x:t>
  </x:si>
  <x:si>
    <x:t xml:space="preserve">1. Intentar guardar con cada dato inválido.</x:t>
  </x:si>
  <x:si>
    <x:t xml:space="preserve">El sistema rechaza la operación e indica los campos con error.</x:t>
  </x:si>
  <x:si>
    <x:t xml:space="preserve">CP-041</x:t>
  </x:si>
  <x:si>
    <x:t xml:space="preserve">RQ-CLI-02 / HU provisional</x:t>
  </x:si>
  <x:si>
    <x:t xml:space="preserve">Consulta y edición de un cliente</x:t>
  </x:si>
  <x:si>
    <x:t xml:space="preserve">Comprobar la consulta y actualización de la información de un cliente.</x:t>
  </x:si>
  <x:si>
    <x:t xml:space="preserve">Cliente de prueba registrado.</x:t>
  </x:si>
  <x:si>
    <x:t xml:space="preserve">Teléfono nuevo: número válido</x:t>
  </x:si>
  <x:si>
    <x:t xml:space="preserve">1. Consultar el cliente.
2. Editar el teléfono.
3. Guardar y consultar.</x:t>
  </x:si>
  <x:si>
    <x:t xml:space="preserve">La información se actualiza y se mantiene el resto de los datos.</x:t>
  </x:si>
  <x:si>
    <x:t xml:space="preserve">CP-042</x:t>
  </x:si>
  <x:si>
    <x:t xml:space="preserve">Ventas y caja</x:t>
  </x:si>
  <x:si>
    <x:t xml:space="preserve">RQ-VEN-01 / HU04</x:t>
  </x:si>
  <x:si>
    <x:t xml:space="preserve">Registro de una venta a partir de un pedido</x:t>
  </x:si>
  <x:si>
    <x:t xml:space="preserve">Verificar que un pedido pagado genera el registro de venta correspondiente.</x:t>
  </x:si>
  <x:si>
    <x:t xml:space="preserve">Integración</x:t>
  </x:si>
  <x:si>
    <x:t xml:space="preserve">Pedido con pago registrado.</x:t>
  </x:si>
  <x:si>
    <x:t xml:space="preserve">Pedido pagado de prueba</x:t>
  </x:si>
  <x:si>
    <x:t xml:space="preserve">1. Completar el pago del pedido.
2. Consultar el registro de venta.</x:t>
  </x:si>
  <x:si>
    <x:t xml:space="preserve">Se genera una venta con total coherente con el pedido y el pago.</x:t>
  </x:si>
  <x:si>
    <x:t xml:space="preserve">CP-043</x:t>
  </x:si>
  <x:si>
    <x:t xml:space="preserve">RQ-VEN-02 / HU provisional</x:t>
  </x:si>
  <x:si>
    <x:t xml:space="preserve">Consulta de ventas por fecha</x:t>
  </x:si>
  <x:si>
    <x:t xml:space="preserve">Validar la consulta de ventas filtradas por un rango de fechas.</x:t>
  </x:si>
  <x:si>
    <x:t xml:space="preserve">Ventas registradas en distintas fechas.</x:t>
  </x:si>
  <x:si>
    <x:t xml:space="preserve">Rango de fechas con y sin ventas</x:t>
  </x:si>
  <x:si>
    <x:t xml:space="preserve">1. Consultar ventas con un rango que contenga registros.
2. Repetir con un rango sin registros.</x:t>
  </x:si>
  <x:si>
    <x:t xml:space="preserve">Se devuelven solo las ventas del rango; para el rango vacío, una respuesta sin registros y sin error.</x:t>
  </x:si>
  <x:si>
    <x:t xml:space="preserve">CP-044</x:t>
  </x:si>
  <x:si>
    <x:t xml:space="preserve">RQ-VEN-03 / HU provisional</x:t>
  </x:si>
  <x:si>
    <x:t xml:space="preserve">Cierre de caja</x:t>
  </x:si>
  <x:si>
    <x:t xml:space="preserve">Verificar el cálculo del cierre de caja con las ventas y pagos del periodo.</x:t>
  </x:si>
  <x:si>
    <x:t xml:space="preserve">Ventas y pagos del periodo registrados.</x:t>
  </x:si>
  <x:si>
    <x:t xml:space="preserve">Periodo de prueba</x:t>
  </x:si>
  <x:si>
    <x:t xml:space="preserve">1. Ejecutar el cierre de caja.
2. Comparar los totales con los registros de ventas y pagos.</x:t>
  </x:si>
  <x:si>
    <x:t xml:space="preserve">El total del cierre coincide con la suma de los pagos del periodo.</x:t>
  </x:si>
  <x:si>
    <x:t xml:space="preserve">CP-045</x:t>
  </x:si>
  <x:si>
    <x:t xml:space="preserve">RQ-VEN-04 / HU provisional</x:t>
  </x:si>
  <x:si>
    <x:t xml:space="preserve">Reporte proyectado de ventas</x:t>
  </x:si>
  <x:si>
    <x:t xml:space="preserve">Comprobar la generación del reporte de ventas definido en el diseño, cuando esté disponible.</x:t>
  </x:si>
  <x:si>
    <x:t xml:space="preserve">Ventas registradas.</x:t>
  </x:si>
  <x:si>
    <x:t xml:space="preserve">Periodo de consulta</x:t>
  </x:si>
  <x:si>
    <x:t xml:space="preserve">1. Solicitar el reporte para un periodo.
2. Verificar los totales.</x:t>
  </x:si>
  <x:si>
    <x:t xml:space="preserve">El reporte presenta los datos del periodo de forma coherente con la base de datos.</x:t>
  </x:si>
  <x:si>
    <x:t xml:space="preserve">CP-046</x:t>
  </x:si>
  <x:si>
    <x:t xml:space="preserve">División de cuentas</x:t>
  </x:si>
  <x:si>
    <x:t xml:space="preserve">RQ-DIV-01 / HU04</x:t>
  </x:si>
  <x:si>
    <x:t xml:space="preserve">División equitativa de una cuenta</x:t>
  </x:si>
  <x:si>
    <x:t xml:space="preserve">Verificar la distribución del total de un pedido entre varios participantes.</x:t>
  </x:si>
  <x:si>
    <x:t xml:space="preserve">Pedido con total conocido.</x:t>
  </x:si>
  <x:si>
    <x:t xml:space="preserve">Total: valor de prueba · Participantes: 3</x:t>
  </x:si>
  <x:si>
    <x:t xml:space="preserve">1. Abrir el pedido.
2. Dividir la cuenta entre 3 participantes.</x:t>
  </x:si>
  <x:si>
    <x:t xml:space="preserve">Cada participante recibe su parte y la suma de las partes es igual al total del pedido.</x:t>
  </x:si>
  <x:si>
    <x:t xml:space="preserve">CP-047</x:t>
  </x:si>
  <x:si>
    <x:t xml:space="preserve">División con número de participantes inválido</x:t>
  </x:si>
  <x:si>
    <x:t xml:space="preserve">Validar el rechazo de cero, negativos o no numéricos.</x:t>
  </x:si>
  <x:si>
    <x:t xml:space="preserve">Participantes: 0 · -2 · texto</x:t>
  </x:si>
  <x:si>
    <x:t xml:space="preserve">1. Intentar dividir la cuenta con cada valor inválido.</x:t>
  </x:si>
  <x:si>
    <x:t xml:space="preserve">El sistema rechaza la operación con un mensaje de validación.</x:t>
  </x:si>
  <x:si>
    <x:t xml:space="preserve">CP-048</x:t>
  </x:si>
  <x:si>
    <x:t xml:space="preserve">RQ-DIV-02 / HU04</x:t>
  </x:si>
  <x:si>
    <x:t xml:space="preserve">Seguimiento de pagos por participante</x:t>
  </x:si>
  <x:si>
    <x:t xml:space="preserve">Comprobar el registro del pago de cada parte de la cuenta dividida.</x:t>
  </x:si>
  <x:si>
    <x:t xml:space="preserve">Cuenta dividida entre participantes.</x:t>
  </x:si>
  <x:si>
    <x:t xml:space="preserve">Pago de una parte</x:t>
  </x:si>
  <x:si>
    <x:t xml:space="preserve">1. Registrar el pago de la parte de un participante.
2. Consultar el estado de la cuenta.</x:t>
  </x:si>
  <x:si>
    <x:t xml:space="preserve">Se refleja la parte pagada y el saldo pendiente.</x:t>
  </x:si>
  <x:si>
    <x:t xml:space="preserve">CP-049</x:t>
  </x:si>
  <x:si>
    <x:t xml:space="preserve">RQ-DIV-03 / HU04</x:t>
  </x:si>
  <x:si>
    <x:t xml:space="preserve">Verificación del cierre de una cuenta dividida</x:t>
  </x:si>
  <x:si>
    <x:t xml:space="preserve">Validar que la cuenta solo se cierra cuando todas las partes están pagadas.</x:t>
  </x:si>
  <x:si>
    <x:t xml:space="preserve">Cuenta dividida con partes pendientes.</x:t>
  </x:si>
  <x:si>
    <x:t xml:space="preserve">Cuenta con una parte pendiente</x:t>
  </x:si>
  <x:si>
    <x:t xml:space="preserve">1. Intentar cerrar con una parte pendiente.
2. Registrar la parte restante y cerrar.</x:t>
  </x:si>
  <x:si>
    <x:t xml:space="preserve">El cierre se rechaza mientras existan saldos pendientes y se permite al completar los pagos.</x:t>
  </x:si>
  <x:si>
    <x:t xml:space="preserve">CP-050</x:t>
  </x:si>
  <x:si>
    <x:t xml:space="preserve">Panel Kanban</x:t>
  </x:si>
  <x:si>
    <x:t xml:space="preserve">RQ-KAN-01 / HU provisional</x:t>
  </x:si>
  <x:si>
    <x:t xml:space="preserve">Visualización del panel de estados</x:t>
  </x:si>
  <x:si>
    <x:t xml:space="preserve">Verificar que el tablero muestra los elementos agrupados por estado operativo.</x:t>
  </x:si>
  <x:si>
    <x:t xml:space="preserve">Interfaz</x:t>
  </x:si>
  <x:si>
    <x:t xml:space="preserve">Pedidos en distintos estados.</x:t>
  </x:si>
  <x:si>
    <x:t xml:space="preserve">GET /api/kanban</x:t>
  </x:si>
  <x:si>
    <x:t xml:space="preserve">1. Abrir el panel Kanban.
2. Revisar la ubicación de cada elemento.</x:t>
  </x:si>
  <x:si>
    <x:t xml:space="preserve">Cada elemento aparece en la columna correspondiente a su estado.</x:t>
  </x:si>
  <x:si>
    <x:t xml:space="preserve">CP-051</x:t>
  </x:si>
  <x:si>
    <x:t xml:space="preserve">RQ-KAN-02 / HU provisional</x:t>
  </x:si>
  <x:si>
    <x:t xml:space="preserve">Cambio de estado desde el panel</x:t>
  </x:si>
  <x:si>
    <x:t xml:space="preserve">Comprobar que mover un elemento actualiza su estado de forma persistente.</x:t>
  </x:si>
  <x:si>
    <x:t xml:space="preserve">Elemento en el panel.</x:t>
  </x:si>
  <x:si>
    <x:t xml:space="preserve">Estado destino válido</x:t>
  </x:si>
  <x:si>
    <x:t xml:space="preserve">1. Mover un elemento a la siguiente columna.
2. Recargar el panel y consultar la base de datos.</x:t>
  </x:si>
  <x:si>
    <x:t xml:space="preserve">El nuevo estado se conserva tras recargar y se refleja en la base de datos.</x:t>
  </x:si>
  <x:si>
    <x:t xml:space="preserve">CP-052</x:t>
  </x:si>
  <x:si>
    <x:t xml:space="preserve">Transversal</x:t>
  </x:si>
  <x:si>
    <x:t xml:space="preserve">RQ-TRA-01 / HU provisional</x:t>
  </x:si>
  <x:si>
    <x:t xml:space="preserve">Conexión entre backend y base de datos</x:t>
  </x:si>
  <x:si>
    <x:t xml:space="preserve">Verificar que la API se conecta a MySQL y responde ante una consulta simple.</x:t>
  </x:si>
  <x:si>
    <x:t xml:space="preserve">XAMPP con MySQL activo; API iniciada.</x:t>
  </x:si>
  <x:si>
    <x:t xml:space="preserve">Consulta GET a una ruta de listado</x:t>
  </x:si>
  <x:si>
    <x:t xml:space="preserve">1. Iniciar MySQL en XAMPP.
2. Iniciar la API.
3. Consultar una ruta de listado.
4. Detener MySQL y repetir la consulta.</x:t>
  </x:si>
  <x:si>
    <x:t xml:space="preserve">Con MySQL activo la API responde con datos; sin MySQL responde con un error controlado, sin cerrar el servidor.</x:t>
  </x:si>
  <x:si>
    <x:t xml:space="preserve">CP-053</x:t>
  </x:si>
  <x:si>
    <x:t xml:space="preserve">RQ-TRA-02 / HU provisional</x:t>
  </x:si>
  <x:si>
    <x:t xml:space="preserve">Manejo de cuerpo JSON malformado</x:t>
  </x:si>
  <x:si>
    <x:t xml:space="preserve">Comprobar que la API controla solicitudes con JSON inválido.</x:t>
  </x:si>
  <x:si>
    <x:t xml:space="preserve">API en ejecución.</x:t>
  </x:si>
  <x:si>
    <x:t xml:space="preserve">Cuerpo con JSON incompleto</x:t>
  </x:si>
  <x:si>
    <x:t xml:space="preserve">1. Enviar un POST con JSON mal formado a una ruta de creación.</x:t>
  </x:si>
  <x:si>
    <x:t xml:space="preserve">La API responde con un error de solicitud inválida (criterio propuesto: 400) y un mensaje controlado, sin detener el servicio.</x:t>
  </x:si>
  <x:si>
    <x:t xml:space="preserve">CP-054</x:t>
  </x:si>
  <x:si>
    <x:t xml:space="preserve">RQ-TRA-03 / HU provisional</x:t>
  </x:si>
  <x:si>
    <x:t xml:space="preserve">Adaptabilidad de la interfaz a distintas resoluciones</x:t>
  </x:si>
  <x:si>
    <x:t xml:space="preserve">Verificar la visualización de las pantallas principales en distintos tamaños.</x:t>
  </x:si>
  <x:si>
    <x:t xml:space="preserve">Frontend en ejecución.</x:t>
  </x:si>
  <x:si>
    <x:t xml:space="preserve">Resoluciones: escritorio, tableta y móvil (herramientas del navegador)</x:t>
  </x:si>
  <x:si>
    <x:t xml:space="preserve">1. Abrir las pantallas principales.
2. Cambiar el tamaño de ventana o usar el modo dispositivo.</x:t>
  </x:si>
  <x:si>
    <x:t xml:space="preserve">Los elementos se reorganizan sin pérdida de contenido ni desbordamientos que impidan operar.</x:t>
  </x:si>
  <x:si>
    <x:t xml:space="preserve">CP-055</x:t>
  </x:si>
  <x:si>
    <x:t xml:space="preserve">RQ-TRA-04 / HU provisional</x:t>
  </x:si>
  <x:si>
    <x:t xml:space="preserve">Flujo integrado: pedido, pago y consulta</x:t>
  </x:si>
  <x:si>
    <x:t xml:space="preserve">Verificar el flujo principal de operación de extremo a extremo.</x:t>
  </x:si>
  <x:si>
    <x:t xml:space="preserve">Mesa, productos y usuario disponibles.</x:t>
  </x:si>
  <x:si>
    <x:t xml:space="preserve">Datos de prueba de las hojas correspondientes</x:t>
  </x:si>
  <x:si>
    <x:t xml:space="preserve">1. Crear un pedido.
2. Registrar el pago.
3. Consultar la información del pedido y del pago en la interfaz y en la base de datos.</x:t>
  </x:si>
  <x:si>
    <x:t xml:space="preserve">Los datos son consistentes entre interfaz, API y base de datos.</x:t>
  </x:si>
  <x:si>
    <x:t xml:space="preserve">Las listas desplegables de las columnas O, P y Q se usan al ejecutar. Registrar 'Aprobado', 'En seguimiento' o 'Rechazado' solo después de ejecutar el caso. Definiciones en la hoja CRITERIOS Y ESTADOS.</x:t>
  </x:si>
  <x:si>
    <x:t xml:space="preserve">DEFINICIÓN DEL AMBIENTE DE PRUEBAS</x:t>
  </x:si>
  <x:si>
    <x:t xml:space="preserve">Capa</x:t>
  </x:si>
  <x:si>
    <x:t xml:space="preserve">Componente</x:t>
  </x:si>
  <x:si>
    <x:t xml:space="preserve">Tecnología / herramienta</x:t>
  </x:si>
  <x:si>
    <x:t xml:space="preserve">Versión</x:t>
  </x:si>
  <x:si>
    <x:t xml:space="preserve">Propósito en las pruebas</x:t>
  </x:si>
  <x:si>
    <x:t xml:space="preserve">Estado de configuración</x:t>
  </x:si>
  <x:si>
    <x:t xml:space="preserve">Frontend</x:t>
  </x:si>
  <x:si>
    <x:t xml:space="preserve">Interfaz web</x:t>
  </x:si>
  <x:si>
    <x:t xml:space="preserve">React, HTML5, CSS3, JavaScript</x:t>
  </x:si>
  <x:si>
    <x:t xml:space="preserve">Ejecutar las pantallas del sistema y verificar formularios, mensajes de validación y adaptabilidad a distintas resoluciones.</x:t>
  </x:si>
  <x:si>
    <x:t xml:space="preserve">Backend</x:t>
  </x:si>
  <x:si>
    <x:t xml:space="preserve">Servidor de aplicación</x:t>
  </x:si>
  <x:si>
    <x:t xml:space="preserve">Node.js con Express.js</x:t>
  </x:si>
  <x:si>
    <x:t xml:space="preserve">Atender las peticiones de la API REST y la lógica de controladores y rutas, con intercambio de datos en JSON.</x:t>
  </x:si>
  <x:si>
    <x:t xml:space="preserve">API REST</x:t>
  </x:si>
  <x:si>
    <x:t xml:space="preserve">No aplica</x:t>
  </x:si>
  <x:si>
    <x:t xml:space="preserve">Punto de acceso de las pruebas funcionales y de integración. La existencia de una ruta no implica que todas sus operaciones estén desarrolladas.</x:t>
  </x:si>
  <x:si>
    <x:t xml:space="preserve">Base de datos</x:t>
  </x:si>
  <x:si>
    <x:t xml:space="preserve">Motor de base de datos</x:t>
  </x:si>
  <x:si>
    <x:t xml:space="preserve">Almacenar la información y verificar la persistencia y la integridad referencial.</x:t>
  </x:si>
  <x:si>
    <x:t xml:space="preserve">Entorno local</x:t>
  </x:si>
  <x:si>
    <x:t xml:space="preserve">XAMPP</x:t>
  </x:si>
  <x:si>
    <x:t xml:space="preserve">Versión por verificar</x:t>
  </x:si>
  <x:si>
    <x:t xml:space="preserve">Proveer MySQL en el equipo de pruebas.</x:t>
  </x:si>
  <x:si>
    <x:t xml:space="preserve">Administración</x:t>
  </x:si>
  <x:si>
    <x:t xml:space="preserve">phpMyAdmin</x:t>
  </x:si>
  <x:si>
    <x:t xml:space="preserve">Consultar tablas y verificar los registros creados o modificados durante las pruebas.</x:t>
  </x:si>
  <x:si>
    <x:t xml:space="preserve">Conexión backend–BD</x:t>
  </x:si>
  <x:si>
    <x:t xml:space="preserve">Biblioteca mysql2</x:t>
  </x:si>
  <x:si>
    <x:t xml:space="preserve">Comunicar la API con MySQL.</x:t>
  </x:si>
  <x:si>
    <x:t xml:space="preserve">Herramientas</x:t>
  </x:si>
  <x:si>
    <x:t xml:space="preserve">Pruebas de API</x:t>
  </x:si>
  <x:si>
    <x:t xml:space="preserve">Enviar solicitudes HTTP, revisar códigos de estado y cuerpos JSON, y guardar colecciones de pruebas.</x:t>
  </x:si>
  <x:si>
    <x:t xml:space="preserve">Pruebas de API (alterna)</x:t>
  </x:si>
  <x:si>
    <x:t xml:space="preserve">Thunder Client (extensión de Visual Studio Code)</x:t>
  </x:si>
  <x:si>
    <x:t xml:space="preserve">Ejecutar solicitudes rápidas desde el editor.</x:t>
  </x:si>
  <x:si>
    <x:t xml:space="preserve">Pruebas de interfaz</x:t>
  </x:si>
  <x:si>
    <x:t xml:space="preserve">Ejecutar la aplicación, inspeccionar la consola y la red, y simular distintas resoluciones.</x:t>
  </x:si>
  <x:si>
    <x:t xml:space="preserve">Desarrollo</x:t>
  </x:si>
  <x:si>
    <x:t xml:space="preserve">Visual Studio Code</x:t>
  </x:si>
  <x:si>
    <x:t xml:space="preserve">Edición del código y ejecución de los servicios.</x:t>
  </x:si>
  <x:si>
    <x:t xml:space="preserve">Control de versiones</x:t>
  </x:si>
  <x:si>
    <x:t xml:space="preserve">Git y GitHub</x:t>
  </x:si>
  <x:si>
    <x:t xml:space="preserve">Control de cambios y respaldo del código y de la documentación.</x:t>
  </x:si>
  <x:si>
    <x:t xml:space="preserve">Documentación y seguimiento</x:t>
  </x:si>
  <x:si>
    <x:t xml:space="preserve">Microsoft Excel</x:t>
  </x:si>
  <x:si>
    <x:t xml:space="preserve">Registro de casos, resultados, defectos y evidencias.</x:t>
  </x:si>
  <x:si>
    <x:t xml:space="preserve">Sistema</x:t>
  </x:si>
  <x:si>
    <x:t xml:space="preserve">Sistema operativo del equipo de pruebas</x:t>
  </x:si>
  <x:si>
    <x:t xml:space="preserve">Windows</x:t>
  </x:si>
  <x:si>
    <x:t xml:space="preserve">Equipo donde se ejecutan XAMPP, la API y el frontend.</x:t>
  </x:si>
  <x:si>
    <x:t xml:space="preserve">Condiciones generales del ambiente</x:t>
  </x:si>
  <x:si>
    <x:t xml:space="preserve">1. MySQL (XAMPP) activo y base de datos de pruebas creada con la estructura del proyecto.</x:t>
  </x:si>
  <x:si>
    <x:t xml:space="preserve">2. API Node.js/Express iniciada y conectada a la base de datos de pruebas.</x:t>
  </x:si>
  <x:si>
    <x:t xml:space="preserve">3. Frontend React en ejecución y apuntando a la API local.</x:t>
  </x:si>
  <x:si>
    <x:t xml:space="preserve">4. Los datos de prueba se registran en la hoja DATOS DE PRUEBA y son ficticios; no se emplea información real de clientes ni de usuarios.</x:t>
  </x:si>
  <x:si>
    <x:t xml:space="preserve">DATOS DE PRUEBA</x:t>
  </x:si>
  <x:si>
    <x:t xml:space="preserve">Código</x:t>
  </x:si>
  <x:si>
    <x:t xml:space="preserve">Dato de prueba</x:t>
  </x:si>
  <x:si>
    <x:t xml:space="preserve">Valor sugerido</x:t>
  </x:si>
  <x:si>
    <x:t xml:space="preserve">Tipo de dato</x:t>
  </x:si>
  <x:si>
    <x:t xml:space="preserve">Uso previsto</x:t>
  </x:si>
  <x:si>
    <x:t xml:space="preserve">DP-001</x:t>
  </x:si>
  <x:si>
    <x:t xml:space="preserve">Usuario administrador de prueba</x:t>
  </x:si>
  <x:si>
    <x:t xml:space="preserve">admin.prueba (contraseña definida por la aprendiz)</x:t>
  </x:si>
  <x:si>
    <x:t xml:space="preserve">Válido</x:t>
  </x:si>
  <x:si>
    <x:t xml:space="preserve">CP de acceso y administración</x:t>
  </x:si>
  <x:si>
    <x:t xml:space="preserve">DP-002</x:t>
  </x:si>
  <x:si>
    <x:t xml:space="preserve">Usuario con rol no administrador</x:t>
  </x:si>
  <x:si>
    <x:t xml:space="preserve">mesero.prueba (contraseña definida por la aprendiz)</x:t>
  </x:si>
  <x:si>
    <x:t xml:space="preserve">CP de restricción de permisos</x:t>
  </x:si>
  <x:si>
    <x:t xml:space="preserve">DP-003</x:t>
  </x:si>
  <x:si>
    <x:t xml:space="preserve">Credenciales incorrectas</x:t>
  </x:si>
  <x:si>
    <x:t xml:space="preserve">Contraseña distinta a la registrada</x:t>
  </x:si>
  <x:si>
    <x:t xml:space="preserve">Inválido</x:t>
  </x:si>
  <x:si>
    <x:t xml:space="preserve">CP de acceso denegado</x:t>
  </x:si>
  <x:si>
    <x:t xml:space="preserve">DP-004</x:t>
  </x:si>
  <x:si>
    <x:t xml:space="preserve">Campos vacíos</x:t>
  </x:si>
  <x:si>
    <x:t xml:space="preserve">(vacío)</x:t>
  </x:si>
  <x:si>
    <x:t xml:space="preserve">Límite</x:t>
  </x:si>
  <x:si>
    <x:t xml:space="preserve">CP de validación de formulario</x:t>
  </x:si>
  <x:si>
    <x:t xml:space="preserve">DP-005</x:t>
  </x:si>
  <x:si>
    <x:t xml:space="preserve">Nombre de categoría</x:t>
  </x:si>
  <x:si>
    <x:t xml:space="preserve">Cervezas</x:t>
  </x:si>
  <x:si>
    <x:t xml:space="preserve">Registro y duplicidad</x:t>
  </x:si>
  <x:si>
    <x:t xml:space="preserve">DP-006</x:t>
  </x:si>
  <x:si>
    <x:t xml:space="preserve">Nombre de producto</x:t>
  </x:si>
  <x:si>
    <x:t xml:space="preserve">Cerveza de prueba</x:t>
  </x:si>
  <x:si>
    <x:t xml:space="preserve">Creación y consulta</x:t>
  </x:si>
  <x:si>
    <x:t xml:space="preserve">DP-007</x:t>
  </x:si>
  <x:si>
    <x:t xml:space="preserve">Precio válido</x:t>
  </x:si>
  <x:si>
    <x:t xml:space="preserve">8000</x:t>
  </x:si>
  <x:si>
    <x:t xml:space="preserve">Creación y actualización</x:t>
  </x:si>
  <x:si>
    <x:t xml:space="preserve">DP-008</x:t>
  </x:si>
  <x:si>
    <x:t xml:space="preserve">Precio inválido</x:t>
  </x:si>
  <x:si>
    <x:t xml:space="preserve">-1000 · texto</x:t>
  </x:si>
  <x:si>
    <x:t xml:space="preserve">Validación de precio</x:t>
  </x:si>
  <x:si>
    <x:t xml:space="preserve">DP-009</x:t>
  </x:si>
  <x:si>
    <x:t xml:space="preserve">Cantidad de entrada válida</x:t>
  </x:si>
  <x:si>
    <x:t xml:space="preserve">24</x:t>
  </x:si>
  <x:si>
    <x:t xml:space="preserve">Aumento de existencias</x:t>
  </x:si>
  <x:si>
    <x:t xml:space="preserve">DP-010</x:t>
  </x:si>
  <x:si>
    <x:t xml:space="preserve">Cantidad inválida</x:t>
  </x:si>
  <x:si>
    <x:t xml:space="preserve">-5 · texto</x:t>
  </x:si>
  <x:si>
    <x:t xml:space="preserve">Validación de cantidades</x:t>
  </x:si>
  <x:si>
    <x:t xml:space="preserve">DP-011</x:t>
  </x:si>
  <x:si>
    <x:t xml:space="preserve">Mesa 1 (disponible) · Mesa 2 (ocupada)</x:t>
  </x:si>
  <x:si>
    <x:t xml:space="preserve">Estados y asignación</x:t>
  </x:si>
  <x:si>
    <x:t xml:space="preserve">DP-012</x:t>
  </x:si>
  <x:si>
    <x:t xml:space="preserve">Pedido con productos</x:t>
  </x:si>
  <x:si>
    <x:t xml:space="preserve">2 productos con cantidades 1 y 2</x:t>
  </x:si>
  <x:si>
    <x:t xml:space="preserve">Creación de pedido</x:t>
  </x:si>
  <x:si>
    <x:t xml:space="preserve">DP-013</x:t>
  </x:si>
  <x:si>
    <x:t xml:space="preserve">Pedido sin productos</x:t>
  </x:si>
  <x:si>
    <x:t xml:space="preserve">Lista vacía</x:t>
  </x:si>
  <x:si>
    <x:t xml:space="preserve">DP-014</x:t>
  </x:si>
  <x:si>
    <x:t xml:space="preserve">Importe válido</x:t>
  </x:si>
  <x:si>
    <x:t xml:space="preserve">Igual al total del pedido</x:t>
  </x:si>
  <x:si>
    <x:t xml:space="preserve">Registro de pago</x:t>
  </x:si>
  <x:si>
    <x:t xml:space="preserve">DP-015</x:t>
  </x:si>
  <x:si>
    <x:t xml:space="preserve">Importe inválido</x:t>
  </x:si>
  <x:si>
    <x:t xml:space="preserve">0 · -1000 · texto</x:t>
  </x:si>
  <x:si>
    <x:t xml:space="preserve">Validación de importe</x:t>
  </x:si>
  <x:si>
    <x:t xml:space="preserve">DP-016</x:t>
  </x:si>
  <x:si>
    <x:t xml:space="preserve">Juego de prueba</x:t>
  </x:si>
  <x:si>
    <x:t xml:space="preserve">Billar 1 · Tejo 1</x:t>
  </x:si>
  <x:si>
    <x:t xml:space="preserve">Sesiones de uso</x:t>
  </x:si>
  <x:si>
    <x:t xml:space="preserve">DP-017</x:t>
  </x:si>
  <x:si>
    <x:t xml:space="preserve">Cliente de prueba</x:t>
  </x:si>
  <x:si>
    <x:t xml:space="preserve">Cliente Prueba · teléfono de 10 dígitos ficticio</x:t>
  </x:si>
  <x:si>
    <x:t xml:space="preserve">Registro y edición</x:t>
  </x:si>
  <x:si>
    <x:t xml:space="preserve">DP-018</x:t>
  </x:si>
  <x:si>
    <x:t xml:space="preserve">Datos inválidos</x:t>
  </x:si>
  <x:si>
    <x:t xml:space="preserve">Nombre vacío · teléfono con letras</x:t>
  </x:si>
  <x:si>
    <x:t xml:space="preserve">DP-019</x:t>
  </x:si>
  <x:si>
    <x:t xml:space="preserve">Participantes</x:t>
  </x:si>
  <x:si>
    <x:t xml:space="preserve">3 · 0 · -2 · texto</x:t>
  </x:si>
  <x:si>
    <x:t xml:space="preserve">Válido / Inválido</x:t>
  </x:si>
  <x:si>
    <x:t xml:space="preserve">División y validación</x:t>
  </x:si>
  <x:si>
    <x:t xml:space="preserve">DP-020</x:t>
  </x:si>
  <x:si>
    <x:t xml:space="preserve">JSON malformado</x:t>
  </x:si>
  <x:si>
    <x:t xml:space="preserve">{ "nombre": "Prueba"</x:t>
  </x:si>
  <x:si>
    <x:t xml:space="preserve">Manejo de errores de la API</x:t>
  </x:si>
  <x:si>
    <x:t xml:space="preserve">Todos los datos son ficticios y de uso exclusivo para pruebas. Los valores marcados como sugeridos pueden ajustarse a los datos reales de la base de pruebas.</x:t>
  </x:si>
  <x:si>
    <x:t xml:space="preserve">TRAZABILIDAD ENTRE REQUISITOS Y CASOS DE PRUEBA</x:t>
  </x:si>
  <x:si>
    <x:t xml:space="preserve">Código de requisito</x:t>
  </x:si>
  <x:si>
    <x:t xml:space="preserve">Historia de usuario</x:t>
  </x:si>
  <x:si>
    <x:t xml:space="preserve">Requisito funcional a verificar</x:t>
  </x:si>
  <x:si>
    <x:t xml:space="preserve">Ruta REST asociada</x:t>
  </x:si>
  <x:si>
    <x:t xml:space="preserve">Estado de avance del módulo</x:t>
  </x:si>
  <x:si>
    <x:t xml:space="preserve">Casos asociados</x:t>
  </x:si>
  <x:si>
    <x:t xml:space="preserve">Cobertura</x:t>
  </x:si>
  <x:si>
    <x:t xml:space="preserve">RQ-AUT-01</x:t>
  </x:si>
  <x:si>
    <x:t xml:space="preserve">HU01 – Inicio de sesión</x:t>
  </x:si>
  <x:si>
    <x:t xml:space="preserve">Validar credenciales e iniciar sesión</x:t>
  </x:si>
  <x:si>
    <x:t xml:space="preserve">/api/usuarios</x:t>
  </x:si>
  <x:si>
    <x:t xml:space="preserve">Con avances</x:t>
  </x:si>
  <x:si>
    <x:t xml:space="preserve">RQ-AUT-02</x:t>
  </x:si>
  <x:si>
    <x:t xml:space="preserve">Validar campos obligatorios del formulario de acceso</x:t>
  </x:si>
  <x:si>
    <x:t xml:space="preserve">RQ-AUT-03</x:t>
  </x:si>
  <x:si>
    <x:t xml:space="preserve">Controlar el acceso a rutas protegidas</x:t>
  </x:si>
  <x:si>
    <x:t xml:space="preserve">RQ-USR-01</x:t>
  </x:si>
  <x:si>
    <x:t xml:space="preserve">HU02 – Perfiles y roles</x:t>
  </x:si>
  <x:si>
    <x:t xml:space="preserve">Consultar usuarios</x:t>
  </x:si>
  <x:si>
    <x:t xml:space="preserve">RQ-USR-02</x:t>
  </x:si>
  <x:si>
    <x:t xml:space="preserve">Registrar usuarios con validaciones</x:t>
  </x:si>
  <x:si>
    <x:t xml:space="preserve">RQ-USR-03</x:t>
  </x:si>
  <x:si>
    <x:t xml:space="preserve">Editar usuarios y asignar perfiles</x:t>
  </x:si>
  <x:si>
    <x:t xml:space="preserve">RQ-USR-04</x:t>
  </x:si>
  <x:si>
    <x:t xml:space="preserve">Restringir funciones según el rol</x:t>
  </x:si>
  <x:si>
    <x:t xml:space="preserve">RQ-CAT-01</x:t>
  </x:si>
  <x:si>
    <x:t xml:space="preserve">Provisional (sin HU formalizada)</x:t>
  </x:si>
  <x:si>
    <x:t xml:space="preserve">Registrar categorías con validaciones</x:t>
  </x:si>
  <x:si>
    <x:t xml:space="preserve">/api/categorias</x:t>
  </x:si>
  <x:si>
    <x:t xml:space="preserve">Por verificar</x:t>
  </x:si>
  <x:si>
    <x:t xml:space="preserve">RQ-CAT-02</x:t>
  </x:si>
  <x:si>
    <x:t xml:space="preserve">Consultar categorías</x:t>
  </x:si>
  <x:si>
    <x:t xml:space="preserve">RQ-CAT-03</x:t>
  </x:si>
  <x:si>
    <x:t xml:space="preserve">Actualizar categorías</x:t>
  </x:si>
  <x:si>
    <x:t xml:space="preserve">RQ-PRO-01</x:t>
  </x:si>
  <x:si>
    <x:t xml:space="preserve">Crear productos con validaciones y categoría</x:t>
  </x:si>
  <x:si>
    <x:t xml:space="preserve">/api/productos</x:t>
  </x:si>
  <x:si>
    <x:t xml:space="preserve">Desarrollado, con pruebas previas</x:t>
  </x:si>
  <x:si>
    <x:t xml:space="preserve">RQ-PRO-02</x:t>
  </x:si>
  <x:si>
    <x:t xml:space="preserve">Consultar productos</x:t>
  </x:si>
  <x:si>
    <x:t xml:space="preserve">RQ-PRO-03</x:t>
  </x:si>
  <x:si>
    <x:t xml:space="preserve">Actualizar productos</x:t>
  </x:si>
  <x:si>
    <x:t xml:space="preserve">RQ-INV-01</x:t>
  </x:si>
  <x:si>
    <x:t xml:space="preserve">Consultar existencias</x:t>
  </x:si>
  <x:si>
    <x:t xml:space="preserve">/api/inventario</x:t>
  </x:si>
  <x:si>
    <x:t xml:space="preserve">RQ-INV-02</x:t>
  </x:si>
  <x:si>
    <x:t xml:space="preserve">Actualizar cantidades con validaciones</x:t>
  </x:si>
  <x:si>
    <x:t xml:space="preserve">RQ-INV-03</x:t>
  </x:si>
  <x:si>
    <x:t xml:space="preserve">Impedir existencias negativas</x:t>
  </x:si>
  <x:si>
    <x:t xml:space="preserve">RQ-INV-04</x:t>
  </x:si>
  <x:si>
    <x:t xml:space="preserve">Alertas de inventario bajo (si aplica al diseño)</x:t>
  </x:si>
  <x:si>
    <x:t xml:space="preserve">RQ-MES-01</x:t>
  </x:si>
  <x:si>
    <x:t xml:space="preserve">Consultar mesas y disponibilidad</x:t>
  </x:si>
  <x:si>
    <x:t xml:space="preserve">/api/mesas</x:t>
  </x:si>
  <x:si>
    <x:t xml:space="preserve">RQ-MES-02</x:t>
  </x:si>
  <x:si>
    <x:t xml:space="preserve">Cambiar el estado de las mesas</x:t>
  </x:si>
  <x:si>
    <x:t xml:space="preserve">RQ-PED-01</x:t>
  </x:si>
  <x:si>
    <x:t xml:space="preserve">HU03 – Pedidos por mesa</x:t>
  </x:si>
  <x:si>
    <x:t xml:space="preserve">Crear pedidos asociados a mesas</x:t>
  </x:si>
  <x:si>
    <x:t xml:space="preserve">/api/pedidos</x:t>
  </x:si>
  <x:si>
    <x:t xml:space="preserve">RQ-PED-02</x:t>
  </x:si>
  <x:si>
    <x:t xml:space="preserve">Consultar pedidos</x:t>
  </x:si>
  <x:si>
    <x:t xml:space="preserve">RQ-PED-03</x:t>
  </x:si>
  <x:si>
    <x:t xml:space="preserve">Cambiar el estado de los pedidos</x:t>
  </x:si>
  <x:si>
    <x:t xml:space="preserve">RQ-PAG-01</x:t>
  </x:si>
  <x:si>
    <x:t xml:space="preserve">HU04 – Cobro de pedidos</x:t>
  </x:si>
  <x:si>
    <x:t xml:space="preserve">Registrar pagos y validar importes</x:t>
  </x:si>
  <x:si>
    <x:t xml:space="preserve">/api/pagos</x:t>
  </x:si>
  <x:si>
    <x:t xml:space="preserve">RQ-PAG-02</x:t>
  </x:si>
  <x:si>
    <x:t xml:space="preserve">Consultar pagos y su relación con pedidos</x:t>
  </x:si>
  <x:si>
    <x:t xml:space="preserve">RQ-JUE-01</x:t>
  </x:si>
  <x:si>
    <x:t xml:space="preserve">Consultar disponibilidad de juegos</x:t>
  </x:si>
  <x:si>
    <x:t xml:space="preserve">/api/juegos</x:t>
  </x:si>
  <x:si>
    <x:t xml:space="preserve">RQ-JUE-02</x:t>
  </x:si>
  <x:si>
    <x:t xml:space="preserve">Iniciar sesiones de uso</x:t>
  </x:si>
  <x:si>
    <x:t xml:space="preserve">RQ-JUE-03</x:t>
  </x:si>
  <x:si>
    <x:t xml:space="preserve">Finalizar sesiones de uso</x:t>
  </x:si>
  <x:si>
    <x:t xml:space="preserve">RQ-CLI-01</x:t>
  </x:si>
  <x:si>
    <x:t xml:space="preserve">Registrar clientes con validaciones</x:t>
  </x:si>
  <x:si>
    <x:t xml:space="preserve">/api/clientes</x:t>
  </x:si>
  <x:si>
    <x:t xml:space="preserve">RQ-CLI-02</x:t>
  </x:si>
  <x:si>
    <x:t xml:space="preserve">Consultar y mantener clientes</x:t>
  </x:si>
  <x:si>
    <x:t xml:space="preserve">RQ-VEN-01</x:t>
  </x:si>
  <x:si>
    <x:t xml:space="preserve">Registrar ventas</x:t>
  </x:si>
  <x:si>
    <x:t xml:space="preserve">/api/ventas</x:t>
  </x:si>
  <x:si>
    <x:t xml:space="preserve">Requiere desarrollo o integración</x:t>
  </x:si>
  <x:si>
    <x:t xml:space="preserve">RQ-VEN-02</x:t>
  </x:si>
  <x:si>
    <x:t xml:space="preserve">Consultar ventas</x:t>
  </x:si>
  <x:si>
    <x:t xml:space="preserve">RQ-VEN-03</x:t>
  </x:si>
  <x:si>
    <x:t xml:space="preserve">Realizar cierres de caja</x:t>
  </x:si>
  <x:si>
    <x:t xml:space="preserve">RQ-VEN-04</x:t>
  </x:si>
  <x:si>
    <x:t xml:space="preserve">Generar reportes proyectados</x:t>
  </x:si>
  <x:si>
    <x:t xml:space="preserve">RQ-DIV-01</x:t>
  </x:si>
  <x:si>
    <x:t xml:space="preserve">Distribuir valores entre participantes</x:t>
  </x:si>
  <x:si>
    <x:t xml:space="preserve">/api/divisiones</x:t>
  </x:si>
  <x:si>
    <x:t xml:space="preserve">RQ-DIV-02</x:t>
  </x:si>
  <x:si>
    <x:t xml:space="preserve">Dar seguimiento a los pagos por participante</x:t>
  </x:si>
  <x:si>
    <x:t xml:space="preserve">RQ-DIV-03</x:t>
  </x:si>
  <x:si>
    <x:t xml:space="preserve">Verificar el cierre de la cuenta</x:t>
  </x:si>
  <x:si>
    <x:t xml:space="preserve">RQ-KAN-01</x:t>
  </x:si>
  <x:si>
    <x:t xml:space="preserve">Visualizar estados operativos</x:t>
  </x:si>
  <x:si>
    <x:t xml:space="preserve">/api/kanban</x:t>
  </x:si>
  <x:si>
    <x:t xml:space="preserve">RQ-KAN-02</x:t>
  </x:si>
  <x:si>
    <x:t xml:space="preserve">Cambiar estados desde el panel</x:t>
  </x:si>
  <x:si>
    <x:t xml:space="preserve">RQ-TRA-01</x:t>
  </x:si>
  <x:si>
    <x:t xml:space="preserve">Conexión backend–base de datos</x:t>
  </x:si>
  <x:si>
    <x:t xml:space="preserve">Todas</x:t>
  </x:si>
  <x:si>
    <x:t xml:space="preserve">Aplica a todo el sistema</x:t>
  </x:si>
  <x:si>
    <x:t xml:space="preserve">RQ-TRA-02</x:t>
  </x:si>
  <x:si>
    <x:t xml:space="preserve">Manejo de solicitudes malformadas</x:t>
  </x:si>
  <x:si>
    <x:t xml:space="preserve">RQ-TRA-03</x:t>
  </x:si>
  <x:si>
    <x:t xml:space="preserve">Adaptabilidad de la interfaz</x:t>
  </x:si>
  <x:si>
    <x:t xml:space="preserve">RQ-TRA-04</x:t>
  </x:si>
  <x:si>
    <x:t xml:space="preserve">Flujo integrado pedido–pago</x:t>
  </x:si>
  <x:si>
    <x:t xml:space="preserve">Total</x:t>
  </x:si>
  <x:si>
    <x:t xml:space="preserve">Historias de usuario oficiales</x:t>
  </x:si>
  <x:si>
    <x:t xml:space="preserve">Requisitos</x:t>
  </x:si>
  <x:si>
    <x:t xml:space="preserve">Casos</x:t>
  </x:si>
  <x:si>
    <x:t xml:space="preserve">HU01</x:t>
  </x:si>
  <x:si>
    <x:t xml:space="preserve">Inicio de sesión</x:t>
  </x:si>
  <x:si>
    <x:t xml:space="preserve">HU02</x:t>
  </x:si>
  <x:si>
    <x:t xml:space="preserve">Perfiles y roles</x:t>
  </x:si>
  <x:si>
    <x:t xml:space="preserve">HU03</x:t>
  </x:si>
  <x:si>
    <x:t xml:space="preserve">Pedidos por mesa</x:t>
  </x:si>
  <x:si>
    <x:t xml:space="preserve">HU04</x:t>
  </x:si>
  <x:si>
    <x:t xml:space="preserve">Cobro de pedidos</x:t>
  </x:si>
  <x:si>
    <x:t xml:space="preserve">HU provisional</x:t>
  </x:si>
  <x:si>
    <x:t xml:space="preserve">Requisitos sin historia de usuario formalizada</x:t>
  </x:si>
  <x:si>
    <x:t xml:space="preserve">Los códigos RQ son los identificadores de requisito de este diseño de pruebas. Las historias de usuario oficiales son HU01 a HU04; los requisitos que aún no cuentan con una historia formalizada se identifican como provisionales y deben vincularse a su HU cuando se formalice. El estado de avance se toma del conocimiento actual del proyecto y debe confirmarse antes de ejecutar.</x:t>
  </x:si>
  <x:si>
    <x:t xml:space="preserve">REGISTRO DE DEFECTOS Y ACCIONES CORRECTIVAS</x:t>
  </x:si>
  <x:si>
    <x:t xml:space="preserve">Código de incidencia</x:t>
  </x:si>
  <x:si>
    <x:t xml:space="preserve">Descripción del defecto</x:t>
  </x:si>
  <x:si>
    <x:t xml:space="preserve">Pasos para reproducir</x:t>
  </x:si>
  <x:si>
    <x:t xml:space="preserve">Severidad</x:t>
  </x:si>
  <x:si>
    <x:t xml:space="preserve">Estado</x:t>
  </x:si>
  <x:si>
    <x:t xml:space="preserve">Fecha de detección</x:t>
  </x:si>
  <x:si>
    <x:t xml:space="preserve">Acción correctiva</x:t>
  </x:si>
  <x:si>
    <x:t xml:space="preserve">Fecha de cierre</x:t>
  </x:si>
  <x:si>
    <x:t xml:space="preserve">Fila guía: esta fila no contiene ningún defecto. Los defectos se registran desde la fila 6, solo cuando se detecten durante la ejecución de un caso. Formato de código: INC-001, INC-002, …</x:t>
  </x:si>
  <x:si>
    <x:t xml:space="preserve">Instrucciones: registrar cada defecto desde la fila 6 y copiar su código de incidencia en la columna R de la matriz, junto con la severidad en la columna Q.</x:t>
  </x:si>
  <x:si>
    <x:t xml:space="preserve">Severidad: Alta, Media o Baja según la hoja CRITERIOS Y ESTADOS. 'No aplica' se usa en la matriz cuando no hay defecto.</x:t>
  </x:si>
  <x:si>
    <x:t xml:space="preserve">RESUMEN DE COBERTURA Y EJECUCIÓN</x:t>
  </x:si>
  <x:si>
    <x:t xml:space="preserve">Indicadores generales</x:t>
  </x:si>
  <x:si>
    <x:t xml:space="preserve">Total de casos diseñados</x:t>
  </x:si>
  <x:si>
    <x:t xml:space="preserve">No ejecutados</x:t>
  </x:si>
  <x:si>
    <x:t xml:space="preserve">En ejecución</x:t>
  </x:si>
  <x:si>
    <x:t xml:space="preserve">Ejecutados</x:t>
  </x:si>
  <x:si>
    <x:t xml:space="preserve">Aprobados</x:t>
  </x:si>
  <x:si>
    <x:t xml:space="preserve">En seguimiento</x:t>
  </x:si>
  <x:si>
    <x:t xml:space="preserve">Rechazados</x:t>
  </x:si>
  <x:si>
    <x:t xml:space="preserve">Avance de ejecución</x:t>
  </x:si>
  <x:si>
    <x:t xml:space="preserve">Casos por módulo</x:t>
  </x:si>
  <x:si>
    <x:t xml:space="preserve">Controles de consistencia</x:t>
  </x:si>
  <x:si>
    <x:t xml:space="preserve">Control</x:t>
  </x:si>
  <x:si>
    <x:t xml:space="preserve">Valor</x:t>
  </x:si>
  <x:si>
    <x:t xml:space="preserve">Resultado</x:t>
  </x:si>
  <x:si>
    <x:t xml:space="preserve">Casos 'No ejecutado' con evaluación distinta de Pendiente (debe ser 0)</x:t>
  </x:si>
  <x:si>
    <x:t xml:space="preserve">Casos evaluados (Aprobado, En seguimiento o Rechazado) cuyo estado no es Ejecutado (debe ser 0)</x:t>
  </x:si>
  <x:si>
    <x:t xml:space="preserve">Casos Aprobado o Pendiente con severidad distinta de 'No aplica' (debe ser 0)</x:t>
  </x:si>
  <x:si>
    <x:t xml:space="preserve">Diferencia entre casos de la matriz y casos en la trazabilidad (debe ser 0)</x:t>
  </x:si>
  <x:si>
    <x:t xml:space="preserve">Los valores se calculan con fórmulas a partir de la matriz; se actualizan al registrar los resultados de ejecución.</x:t>
  </x:si>
  <x:si>
    <x:t xml:space="preserve">CRITERIOS, ESTADOS Y CLASIFICACIONES</x:t>
  </x:si>
  <x:si>
    <x:t xml:space="preserve">Categoría</x:t>
  </x:si>
  <x:si>
    <x:t xml:space="preserve">Definición</x:t>
  </x:si>
  <x:si>
    <x:t xml:space="preserve">Uso en el documento</x:t>
  </x:si>
  <x:si>
    <x:t xml:space="preserve">No ejecutado</x:t>
  </x:si>
  <x:si>
    <x:t xml:space="preserve">El caso está diseñado y aún no se ha ejecutado. Es el estado de todos los casos en esta versión.</x:t>
  </x:si>
  <x:si>
    <x:t xml:space="preserve">Matriz, columna O</x:t>
  </x:si>
  <x:si>
    <x:t xml:space="preserve">El caso se está ejecutando.</x:t>
  </x:si>
  <x:si>
    <x:t xml:space="preserve">Ejecutado</x:t>
  </x:si>
  <x:si>
    <x:t xml:space="preserve">El caso se ejecutó por completo y se registró el resultado obtenido.</x:t>
  </x:si>
  <x:si>
    <x:t xml:space="preserve">Bloqueado</x:t>
  </x:si>
  <x:si>
    <x:t xml:space="preserve">El caso no puede ejecutarse por una dependencia (módulo sin desarrollar o ambiente sin configurar).</x:t>
  </x:si>
  <x:si>
    <x:t xml:space="preserve">El caso no corresponde al alcance real del sistema.</x:t>
  </x:si>
  <x:si>
    <x:t xml:space="preserve">Pendiente</x:t>
  </x:si>
  <x:si>
    <x:t xml:space="preserve">El caso no ha sido evaluado. Corresponde a todos los casos no ejecutados.</x:t>
  </x:si>
  <x:si>
    <x:t xml:space="preserve">Matriz, columna P</x:t>
  </x:si>
  <x:si>
    <x:t xml:space="preserve">Aprobado</x:t>
  </x:si>
  <x:si>
    <x:t xml:space="preserve">El caso se ejecutó y el resultado obtenido coincide con el resultado esperado. La severidad queda como 'No aplica'.</x:t>
  </x:si>
  <x:si>
    <x:t xml:space="preserve">El caso se ejecutó y el resultado difiere o es parcial, y la desviación está en análisis o con una acción correctiva pendiente de verificar. Requiere código de incidencia.</x:t>
  </x:si>
  <x:si>
    <x:t xml:space="preserve">Rechazado</x:t>
  </x:si>
  <x:si>
    <x:t xml:space="preserve">El caso se ejecutó y el resultado no cumple lo esperado; se confirma un defecto. Requiere severidad y código de incidencia.</x:t>
  </x:si>
  <x:si>
    <x:t xml:space="preserve">Funcionalidad crítica para la operación (acceso, pedidos, pagos, inventario). Se ejecuta primero.</x:t>
  </x:si>
  <x:si>
    <x:t xml:space="preserve">Matriz, columna G</x:t>
  </x:si>
  <x:si>
    <x:t xml:space="preserve">Funcionalidad importante pero no crítica para la continuidad de la operación.</x:t>
  </x:si>
  <x:si>
    <x:t xml:space="preserve">Funcionalidad complementaria o de consulta con bajo impacto operativo.</x:t>
  </x:si>
  <x:si>
    <x:t xml:space="preserve">El defecto impide completar la función o compromete la integridad de los datos.</x:t>
  </x:si>
  <x:si>
    <x:t xml:space="preserve">Matriz, columna Q; Registro de defectos</x:t>
  </x:si>
  <x:si>
    <x:t xml:space="preserve">El defecto afecta la función, pero existe una alternativa o su efecto es limitado.</x:t>
  </x:si>
  <x:si>
    <x:t xml:space="preserve">Defecto menor de presentación o redacción que no afecta la operación.</x:t>
  </x:si>
  <x:si>
    <x:t xml:space="preserve">No se ha detectado un defecto (caso no ejecutado o aprobado).</x:t>
  </x:si>
  <x:si>
    <x:t xml:space="preserve">Matriz, columna Q</x:t>
  </x:si>
  <x:si>
    <x:t xml:space="preserve">Prioridad frente a severidad</x:t>
  </x:si>
  <x:si>
    <x:t xml:space="preserve">Importancia del caso o de la funcionalidad que prueba. Se asigna al diseñar el caso, antes de ejecutarlo, y define el orden de ejecución.</x:t>
  </x:si>
  <x:si>
    <x:t xml:space="preserve">Se define en el diseño</x:t>
  </x:si>
  <x:si>
    <x:t xml:space="preserve">Impacto de un defecto detectado. Se asigna al ejecutar el caso y solo si hay un defecto; no depende de la prioridad del caso.</x:t>
  </x:si>
  <x:si>
    <x:t xml:space="preserve">Se define en la ejecución</x:t>
  </x:si>
  <x:si>
    <x:t xml:space="preserve">Verifica que una función cumple su objetivo con datos válidos.</x:t>
  </x:si>
  <x:si>
    <x:t xml:space="preserve">Matriz, columna F</x:t>
  </x:si>
  <x:si>
    <x:t xml:space="preserve">Verifica el control de datos de entrada (vacíos, formatos, rangos).</x:t>
  </x:si>
  <x:si>
    <x:t xml:space="preserve">Verifica el comportamiento ante operaciones o datos no permitidos.</x:t>
  </x:si>
  <x:si>
    <x:t xml:space="preserve">Verifica el control de acceso y las restricciones por rol.</x:t>
  </x:si>
  <x:si>
    <x:t xml:space="preserve">Verifica la comunicación entre interfaz, API y base de datos.</x:t>
  </x:si>
  <x:si>
    <x:t xml:space="preserve">Verifica la visualización y el comportamiento de la interfaz.</x:t>
  </x:si>
  <x:si>
    <x:t xml:space="preserve">Estado del defecto</x:t>
  </x:si>
  <x:si>
    <x:t xml:space="preserve">Abierto · En corrección · Corregido · Verificado · Cerrado</x:t>
  </x:si>
  <x:si>
    <x:t xml:space="preserve">Ciclo de seguimiento de un defecto, desde su registro hasta su cierre.</x:t>
  </x:si>
  <x:si>
    <x:t xml:space="preserve">Registro de defectos, columna G</x:t>
  </x:si>
  <x:si>
    <x:t xml:space="preserve">Resultados esperados</x:t>
  </x:si>
  <x:si>
    <x:t xml:space="preserve">Criterio propuesto</x:t>
  </x:si>
  <x:si>
    <x:t xml:space="preserve">Los resultados esperados y los códigos HTTP indicados son criterios de aceptación propuestos. No describen la implementación y se confirman antes de ejecutar cada caso.</x:t>
  </x:si>
  <x:si>
    <x:t xml:space="preserve">Matriz, columnas K y V</x:t>
  </x:si>
  <x:si>
    <x:t xml:space="preserve">Requisitos e historias de usuario</x:t>
  </x:si>
  <x:si>
    <x:t xml:space="preserve">HU01 a HU04</x:t>
  </x:si>
  <x:si>
    <x:t xml:space="preserve">HU01 Inicio de sesión · HU02 Perfiles y roles · HU03 Pedidos por mesa · HU04 Cobro de pedidos. Los requisitos sin HU formalizada se identifican como provisionales.</x:t>
  </x:si>
  <x:si>
    <x:t xml:space="preserve">Matriz, columna C; Trazabilidad</x:t>
  </x:si>
</x:sst>
</file>

<file path=xl/styles.xml><?xml version="1.0" encoding="utf-8"?>
<x:styleSheet xmlns:x="http://schemas.openxmlformats.org/spreadsheetml/2006/main">
  <x:numFmts count="6">
    <x:numFmt numFmtId="164" formatCode="General"/>
    <x:numFmt numFmtId="165" formatCode="General"/>
    <x:numFmt numFmtId="166" formatCode="0%"/>
    <x:numFmt numFmtId="200" formatCode="yyyy-mm-dd hh:mm"/>
    <x:numFmt numFmtId="201" formatCode="yyyy-mm-dd"/>
    <x:numFmt numFmtId="202" formatCode="0.0%"/>
  </x:numFmts>
  <x:fonts count="13">
    <x:font>
      <x:sz val="11"/>
      <x:color theme="1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FFFFFF"/>
      <x:name val="Arial"/>
    </x:font>
    <x:font>
      <x:i/>
      <x:sz val="10"/>
      <x:color rgb="FFFFFFFF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  <x:font>
      <x:i/>
      <x:sz val="9"/>
      <x:color rgb="FF595959"/>
      <x:name val="Arial"/>
    </x:font>
    <x:font>
      <x:b/>
      <x:sz val="10"/>
      <x:color rgb="FF000000"/>
      <x:name val="Arial"/>
    </x:font>
    <x:font>
      <x:b/>
      <x:sz val="11"/>
      <x:color rgb="FF00304D"/>
      <x:name val="Arial"/>
    </x:font>
    <x:font>
      <x:i/>
      <x:sz val="10"/>
      <x:color rgb="FF595959"/>
      <x:name val="Arial"/>
    </x:font>
    <x:font>
      <x:b/>
      <x:sz val="11"/>
      <x:color rgb="FFFFFFFF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00304D"/>
      </x:patternFill>
    </x:fill>
    <x:fill>
      <x:patternFill patternType="solid">
        <x:fgColor rgb="FF39A900"/>
      </x:patternFill>
    </x:fill>
    <x:fill>
      <x:patternFill patternType="solid">
        <x:fgColor rgb="FFFFFFCC"/>
      </x:patternFill>
    </x:fill>
    <x:fill>
      <x:patternFill patternType="solid">
        <x:fgColor rgb="FFF2F2F2"/>
      </x:patternFill>
    </x:fill>
    <x:fill>
      <x:patternFill patternType="solid">
        <x:fgColor rgb="FFE8F5E0"/>
      </x:patternFill>
    </x:fill>
    <x:fill>
      <x:patternFill patternType="solid">
        <x:fgColor rgb="FF07334A"/>
      </x:patternFill>
    </x:fill>
  </x:fills>
  <x:borders count="3">
    <x:border diagonalUp="0" diagonalDown="0">
      <x:left/>
      <x:right/>
      <x:top/>
      <x:bottom/>
      <x:diagonal/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 diagonalUp="0" diagonalDown="0">
      <x:left style="thin">
        <x:color rgb="FFBFBFBF"/>
      </x:left>
      <x:right/>
      <x:top style="thin">
        <x:color rgb="FFBFBFBF"/>
      </x:top>
      <x:bottom style="thin">
        <x:color rgb="FFBFBFBF"/>
      </x:bottom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44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4" fillId="2" borderId="0" xfId="0" applyFont="1" applyBorder="1" applyAlignment="1" applyProtection="0">
      <x:alignment horizontal="general" vertical="center" wrapText="0" shrinkToFit="0"/>
      <x:protection locked="1" hidden="0"/>
    </x:xf>
    <x:xf numFmtId="164" fontId="5" fillId="3" borderId="0" xfId="0" applyFont="1" applyBorder="1" applyAlignment="1" applyProtection="0">
      <x:alignment horizontal="general" vertical="center" wrapText="0" shrinkToFit="0"/>
      <x:protection locked="1" hidden="0"/>
    </x:xf>
    <x:xf numFmtId="164" fontId="6" fillId="2" borderId="1" xfId="0" applyFont="1" applyBorder="1" applyAlignment="1" applyProtection="0">
      <x:alignment horizontal="general" vertical="center" wrapText="1" shrinkToFit="0"/>
      <x:protection locked="1" hidden="0"/>
    </x:xf>
    <x:xf numFmtId="164" fontId="7" fillId="0" borderId="1" xfId="0" applyFont="1" applyBorder="1" applyAlignment="1" applyProtection="0">
      <x:alignment horizontal="general" vertical="center" wrapText="1" shrinkToFit="0"/>
      <x:protection locked="1" hidden="0"/>
    </x:xf>
    <x:xf numFmtId="164" fontId="7" fillId="4" borderId="1" xfId="0" applyFont="1" applyBorder="1" applyAlignment="1" applyProtection="0">
      <x:alignment horizontal="general" vertical="center" wrapText="1" shrinkToFit="0"/>
      <x:protection locked="1" hidden="0"/>
    </x:xf>
    <x:xf numFmtId="164" fontId="8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8" fillId="0" borderId="0" xfId="0" applyFont="1" applyBorder="1" applyAlignment="0" applyProtection="0">
      <x:alignment horizontal="general" vertical="bottom" wrapText="0" shrinkToFit="0"/>
      <x:protection locked="1" hidden="0"/>
    </x:xf>
    <x:xf numFmtId="164" fontId="6" fillId="2" borderId="1" xfId="0" applyFont="1" applyBorder="1" applyAlignment="1" applyProtection="0">
      <x:alignment horizontal="center" vertical="center" wrapText="1" shrinkToFit="0"/>
      <x:protection locked="1" hidden="0"/>
    </x:xf>
    <x:xf numFmtId="164" fontId="9" fillId="0" borderId="1" xfId="0" applyFont="1" applyBorder="1" applyAlignment="1" applyProtection="0">
      <x:alignment horizontal="center" vertical="center" wrapText="1" shrinkToFit="0"/>
      <x:protection locked="1" hidden="0"/>
    </x:xf>
    <x:xf numFmtId="164" fontId="7" fillId="0" borderId="1" xfId="0" applyFont="1" applyBorder="1" applyAlignment="1" applyProtection="0">
      <x:alignment horizontal="general" vertical="top" wrapText="1" shrinkToFit="0"/>
      <x:protection locked="1" hidden="0"/>
    </x:xf>
    <x:xf numFmtId="164" fontId="7" fillId="0" borderId="1" xfId="0" applyFont="1" applyBorder="1" applyAlignment="1" applyProtection="0">
      <x:alignment horizontal="center" vertical="center" wrapText="1" shrinkToFit="0"/>
      <x:protection locked="1" hidden="0"/>
    </x:xf>
    <x:xf numFmtId="164" fontId="9" fillId="5" borderId="1" xfId="0" applyFont="1" applyBorder="1" applyAlignment="1" applyProtection="0">
      <x:alignment horizontal="center" vertical="center" wrapText="1" shrinkToFit="0"/>
      <x:protection locked="1" hidden="0"/>
    </x:xf>
    <x:xf numFmtId="164" fontId="7" fillId="5" borderId="1" xfId="0" applyFont="1" applyBorder="1" applyAlignment="1" applyProtection="0">
      <x:alignment horizontal="general" vertical="top" wrapText="1" shrinkToFit="0"/>
      <x:protection locked="1" hidden="0"/>
    </x:xf>
    <x:xf numFmtId="164" fontId="7" fillId="5" borderId="1" xfId="0" applyFont="1" applyBorder="1" applyAlignment="1" applyProtection="0">
      <x:alignment horizontal="center" vertical="center" wrapText="1" shrinkToFit="0"/>
      <x:protection locked="1" hidden="0"/>
    </x:xf>
    <x:xf numFmtId="164" fontId="9" fillId="0" borderId="1" xfId="0" applyFont="1" applyBorder="1" applyAlignment="1" applyProtection="0">
      <x:alignment horizontal="general" vertical="top" wrapText="1" shrinkToFit="0"/>
      <x:protection locked="1" hidden="0"/>
    </x:xf>
    <x:xf numFmtId="164" fontId="9" fillId="5" borderId="1" xfId="0" applyFont="1" applyBorder="1" applyAlignment="1" applyProtection="0">
      <x:alignment horizontal="general" vertical="top" wrapText="1" shrinkToFit="0"/>
      <x:protection locked="1" hidden="0"/>
    </x:xf>
    <x:xf numFmtId="164" fontId="10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7" fillId="0" borderId="0" xfId="0" applyFont="1" applyBorder="1" applyAlignment="1" applyProtection="0">
      <x:alignment horizontal="general" vertical="top" wrapText="1" shrinkToFit="0"/>
      <x:protection locked="1" hidden="0"/>
    </x:xf>
    <x:xf numFmtId="164" fontId="9" fillId="6" borderId="1" xfId="0" applyFont="1" applyBorder="1" applyAlignment="0" applyProtection="0">
      <x:alignment horizontal="general" vertical="bottom" wrapText="0" shrinkToFit="0"/>
      <x:protection locked="1" hidden="0"/>
    </x:xf>
    <x:xf numFmtId="165" fontId="9" fillId="6" borderId="1" xfId="0" applyFont="1" applyBorder="1" applyAlignment="1" applyProtection="0">
      <x:alignment horizontal="center" vertical="center" wrapText="1" shrinkToFit="0"/>
      <x:protection locked="1" hidden="0"/>
    </x:xf>
    <x:xf numFmtId="164" fontId="11" fillId="5" borderId="2" xfId="0" applyFont="1" applyBorder="1" applyAlignment="1" applyProtection="0">
      <x:alignment horizontal="general" vertical="center" wrapText="1" shrinkToFit="0"/>
      <x:protection locked="1" hidden="0"/>
    </x:xf>
    <x:xf numFmtId="164" fontId="6" fillId="2" borderId="1" xfId="0" applyFont="1" applyBorder="1" applyAlignment="0" applyProtection="0">
      <x:alignment horizontal="general" vertical="bottom" wrapText="0" shrinkToFit="0"/>
      <x:protection locked="1" hidden="0"/>
    </x:xf>
    <x:xf numFmtId="166" fontId="7" fillId="0" borderId="1" xfId="0" applyFont="1" applyBorder="1" applyAlignment="1" applyProtection="0">
      <x:alignment horizontal="center" vertical="center" wrapText="1" shrinkToFit="0"/>
      <x:protection locked="1" hidden="0"/>
    </x:xf>
    <x:xf numFmtId="164" fontId="7" fillId="0" borderId="1" xfId="0" applyFont="1" applyBorder="1" applyAlignment="0" applyProtection="0">
      <x:alignment horizontal="general" vertical="bottom" wrapText="0" shrinkToFit="0"/>
      <x:protection locked="1" hidden="0"/>
    </x:xf>
    <x:xf numFmtId="200" fontId="7" fillId="0" borderId="1" xfId="0" applyNumberFormat="1" applyFont="1" applyFill="1" applyBorder="1" applyAlignment="1">
      <x:alignment horizontal="center" vertical="center" wrapText="1"/>
    </x:xf>
    <x:xf numFmtId="164" fontId="7" fillId="0" borderId="1" xfId="0" applyNumberFormat="1" applyFont="1" applyFill="1" applyBorder="1" applyAlignment="1">
      <x:alignment horizontal="general" vertical="top" wrapText="1"/>
    </x:xf>
    <x:xf numFmtId="164" fontId="7" fillId="0" borderId="1" xfId="0" applyNumberFormat="1" applyFont="1" applyFill="1" applyBorder="1" applyAlignment="1">
      <x:alignment horizontal="center" vertical="center" wrapText="1"/>
    </x:xf>
    <x:xf numFmtId="200" fontId="7" fillId="5" borderId="1" xfId="0" applyNumberFormat="1" applyFont="1" applyFill="1" applyBorder="1" applyAlignment="1">
      <x:alignment horizontal="center" vertical="center" wrapText="1"/>
    </x:xf>
    <x:xf numFmtId="164" fontId="7" fillId="5" borderId="1" xfId="0" applyNumberFormat="1" applyFont="1" applyFill="1" applyBorder="1" applyAlignment="1">
      <x:alignment horizontal="general" vertical="top" wrapText="1"/>
    </x:xf>
    <x:xf numFmtId="164" fontId="7" fillId="5" borderId="1" xfId="0" applyNumberFormat="1" applyFont="1" applyFill="1" applyBorder="1" applyAlignment="1">
      <x:alignment horizontal="center" vertical="center" wrapText="1"/>
    </x:xf>
    <x:xf numFmtId="201" fontId="7" fillId="4" borderId="1" xfId="0" applyNumberFormat="1" applyFont="1" applyFill="1" applyBorder="1" applyAlignment="1">
      <x:alignment horizontal="general" vertical="center" wrapText="1"/>
    </x:xf>
    <x:xf numFmtId="164" fontId="7" fillId="0" borderId="1" xfId="0" applyNumberFormat="1" applyFont="1" applyFill="1" applyBorder="1" applyAlignment="1">
      <x:alignment horizontal="general" vertical="center" wrapText="1"/>
    </x:xf>
    <x:xf numFmtId="164" fontId="7" fillId="4" borderId="1" xfId="0" applyNumberFormat="1" applyFont="1" applyFill="1" applyBorder="1" applyAlignment="1">
      <x:alignment horizontal="general" vertical="center" wrapText="1"/>
    </x:xf>
    <x:xf numFmtId="164" fontId="6" fillId="2" borderId="1" xfId="0" applyNumberFormat="1" applyFont="1" applyFill="1" applyBorder="1" applyAlignment="1">
      <x:alignment horizontal="center" vertical="center" wrapText="1"/>
    </x:xf>
    <x:xf numFmtId="164" fontId="9" fillId="0" borderId="1" xfId="0" applyNumberFormat="1" applyFont="1" applyFill="1" applyBorder="1" applyAlignment="1">
      <x:alignment horizontal="general" vertical="top" wrapText="1"/>
    </x:xf>
    <x:xf numFmtId="164" fontId="9" fillId="5" borderId="1" xfId="0" applyNumberFormat="1" applyFont="1" applyFill="1" applyBorder="1" applyAlignment="1">
      <x:alignment horizontal="general" vertical="top" wrapText="1"/>
    </x:xf>
    <x:xf numFmtId="201" fontId="7" fillId="0" borderId="1" xfId="0" applyNumberFormat="1" applyFont="1" applyFill="1" applyBorder="1" applyAlignment="1">
      <x:alignment horizontal="general" vertical="top" wrapText="1"/>
    </x:xf>
    <x:xf numFmtId="202" fontId="0" fillId="0" borderId="0" xfId="0" applyNumberFormat="1" applyFont="1" applyFill="1" applyBorder="1" applyAlignment="1">
      <x:alignment horizontal="general" vertical="bottom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2" fillId="7" borderId="0" xfId="0" applyNumberFormat="1" applyFont="1" applyFill="1" applyBorder="1" applyAlignment="1">
      <x:alignment horizontal="general" vertical="bottom" wrapText="0"/>
    </x:xf>
    <x:xf numFmtId="164" fontId="12" fillId="7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202" fontId="0" fillId="0" borderId="0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5">
    <x:dxf>
      <x:fill>
        <x:patternFill>
          <x:bgColor rgb="FF00304D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FFFFFF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FCC"/>
      <x:rgbColor rgb="FFF2F2F2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E8F5E0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595959"/>
      <x:rgbColor rgb="FF969696"/>
      <x:rgbColor rgb="FF00304D"/>
      <x:rgbColor rgb="FF39A900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cb1eb1b5184c74" /><Relationship Type="http://schemas.openxmlformats.org/officeDocument/2006/relationships/theme" Target="/xl/theme/theme1.xml" Id="Rd01299705fd847d1" /><Relationship Type="http://schemas.openxmlformats.org/officeDocument/2006/relationships/sharedStrings" Target="/xl/sharedStrings.xml" Id="R6bdb1b37fea94bf0" /><Relationship Type="http://schemas.openxmlformats.org/officeDocument/2006/relationships/worksheet" Target="/xl/worksheets/sheet1.xml" Id="R17ec4e4cc8d64216" /><Relationship Type="http://schemas.openxmlformats.org/officeDocument/2006/relationships/worksheet" Target="/xl/worksheets/sheet2.xml" Id="R1782d0ef62c84e0a" /><Relationship Type="http://schemas.openxmlformats.org/officeDocument/2006/relationships/worksheet" Target="/xl/worksheets/sheet3.xml" Id="Rd9a10d2dca9b4f2b" /><Relationship Type="http://schemas.openxmlformats.org/officeDocument/2006/relationships/worksheet" Target="/xl/worksheets/sheet4.xml" Id="R1b5acb5007694b49" /><Relationship Type="http://schemas.openxmlformats.org/officeDocument/2006/relationships/worksheet" Target="/xl/worksheets/sheet5.xml" Id="R21896cbc1d2d4051" /><Relationship Type="http://schemas.openxmlformats.org/officeDocument/2006/relationships/worksheet" Target="/xl/worksheets/sheet6.xml" Id="R95c1b8158990433d" /><Relationship Type="http://schemas.openxmlformats.org/officeDocument/2006/relationships/worksheet" Target="/xl/worksheets/sheet7.xml" Id="R51a7d65e7b4a44f7" /><Relationship Type="http://schemas.openxmlformats.org/officeDocument/2006/relationships/worksheet" Target="/xl/worksheets/sheet8.xml" Id="Rc0eccd9d7f96448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4" hidden="0" customWidth="1"/>
    <x:col min="2" max="2" width="70" hidden="0" customWidth="1"/>
    <x:col min="3" max="4" width="4" hidden="0" customWidth="1"/>
  </x:cols>
  <x:sheetData>
    <x:row r="1" ht="27.75" hidden="0" customHeight="1">
      <x:c r="A1" s="1" t="s">
        <x:v>0</x:v>
      </x:c>
      <x:c r="B1" s="1"/>
      <x:c r="C1" s="1"/>
      <x:c r="D1" s="1"/>
    </x:row>
    <x:row r="2" ht="19.5" hidden="0" customHeight="1">
      <x:c r="A2" s="2" t="s">
        <x:v>1</x:v>
      </x:c>
      <x:c r="B2" s="2"/>
      <x:c r="C2" s="2"/>
      <x:c r="D2" s="2"/>
    </x:row>
    <x:row r="4" ht="21.75" hidden="0" customHeight="1">
      <x:c r="A4" s="3" t="s">
        <x:v>2</x:v>
      </x:c>
      <x:c r="B4" s="4" t="s">
        <x:v>3</x:v>
      </x:c>
    </x:row>
    <x:row r="5" ht="21.75" hidden="0" customHeight="1">
      <x:c r="A5" s="3" t="s">
        <x:v>4</x:v>
      </x:c>
      <x:c r="B5" s="4" t="s">
        <x:v>5</x:v>
      </x:c>
    </x:row>
    <x:row r="6" ht="21.75" hidden="0" customHeight="1">
      <x:c r="A6" s="3" t="s">
        <x:v>6</x:v>
      </x:c>
      <x:c r="B6" s="4" t="s">
        <x:v>7</x:v>
      </x:c>
    </x:row>
    <x:row r="7" ht="33.75" hidden="0" customHeight="1">
      <x:c r="A7" s="3" t="s">
        <x:v>8</x:v>
      </x:c>
      <x:c r="B7" s="4" t="s">
        <x:v>9</x:v>
      </x:c>
    </x:row>
    <x:row r="8" ht="21.75" hidden="0" customHeight="1">
      <x:c r="A8" s="3" t="s">
        <x:v>10</x:v>
      </x:c>
      <x:c r="B8" s="4" t="s">
        <x:v>11</x:v>
      </x:c>
    </x:row>
    <x:row r="9" ht="48.75" hidden="0" customHeight="1">
      <x:c r="A9" s="3" t="s">
        <x:v>12</x:v>
      </x:c>
      <x:c r="B9" s="4" t="s">
        <x:v>13</x:v>
      </x:c>
    </x:row>
    <x:row r="10" ht="21.75" hidden="0" customHeight="1">
      <x:c r="A10" s="3" t="s">
        <x:v>14</x:v>
      </x:c>
      <x:c r="B10" s="4" t="s">
        <x:v>15</x:v>
      </x:c>
    </x:row>
    <x:row r="11" ht="21.75" hidden="0" customHeight="1">
      <x:c r="A11" s="3" t="s">
        <x:v>16</x:v>
      </x:c>
      <x:c r="B11" s="4" t="s">
        <x:v>17</x:v>
      </x:c>
    </x:row>
    <x:row r="12" ht="21.75" hidden="0" customHeight="1">
      <x:c r="A12" s="3" t="s">
        <x:v>18</x:v>
      </x:c>
      <x:c r="B12" s="4" t="s">
        <x:v>19</x:v>
      </x:c>
    </x:row>
    <x:row r="13" ht="21.75" hidden="0" customHeight="1">
      <x:c r="A13" s="3" t="s">
        <x:v>20</x:v>
      </x:c>
      <x:c r="B13" s="4" t="s">
        <x:v>21</x:v>
      </x:c>
    </x:row>
    <x:row r="14" ht="21.75" hidden="0" customHeight="1">
      <x:c r="A14" s="3" t="s">
        <x:v>22</x:v>
      </x:c>
      <x:c r="B14" s="4" t="s">
        <x:v>23</x:v>
      </x:c>
    </x:row>
    <x:row r="15" ht="65" hidden="0" customHeight="1">
      <x:c r="A15" s="3" t="s">
        <x:v>24</x:v>
      </x:c>
      <x:c r="B15" s="32" t="str">
        <x:v>Ejecución local documentada; estabilidad condicionada; sin aprobación funcional final</x:v>
      </x:c>
    </x:row>
    <x:row r="16" ht="65" hidden="0" customHeight="1">
      <x:c r="A16" s="3" t="s">
        <x:v>25</x:v>
      </x:c>
      <x:c r="B16" s="32" t="str">
        <x:v>Ejecutar y documentar los 55 casos con resultados verificables como insumo de GA9-220501096-AA1-EV02. El diseño de referencia AA2-EV01 se conserva en las columnas A:K.</x:v>
      </x:c>
    </x:row>
    <x:row r="17" ht="110" hidden="0" customHeight="1">
      <x:c r="A17" s="3" t="s">
        <x:v>26</x:v>
      </x:c>
      <x:c r="B17" s="32" t="str">
        <x:v>Pruebas funcionales, API REST, integración con MariaDB y frontend Chromium. 55 casos trazados; bloqueos y discrepancias de criterio visibles. No certifica MySQL 8 ni producción. Datos exclusivamente ficticios; esquemas QA conservados.</x:v>
      </x:c>
    </x:row>
    <x:row r="18" ht="48.75" hidden="0" customHeight="1">
      <x:c r="A18" s="3" t="s">
        <x:v>27</x:v>
      </x:c>
      <x:c r="B18" s="4" t="s">
        <x:v>28</x:v>
      </x:c>
    </x:row>
    <x:row r="19" ht="65" hidden="0" customHeight="1">
      <x:c r="A19" s="3" t="s">
        <x:v>29</x:v>
      </x:c>
      <x:c r="B19" s="32" t="str">
        <x:v>Node.js test/assert/fetch, Playwright Chromium, mysql2, artifact-tool. No se ejecutó Newman/Postman; no fue necesario instalar dependencias.</x:v>
      </x:c>
    </x:row>
    <x:row r="20" ht="65" hidden="0" customHeight="1">
      <x:c r="A20" s="3" t="s">
        <x:v>30</x:v>
      </x:c>
      <x:c r="B20" s="32" t="str">
        <x:v>React 19.3.0; Node v24.18.0; Express 5.2.1; MariaDB 10.4.32</x:v>
      </x:c>
    </x:row>
    <x:row r="21" ht="78.75" hidden="0" customHeight="1">
      <x:c r="A21" s="3" t="s">
        <x:v>31</x:v>
      </x:c>
      <x:c r="B21" s="4" t="s">
        <x:v>32</x:v>
      </x:c>
    </x:row>
    <x:row r="22" ht="48.75" hidden="0" customHeight="1">
      <x:c r="A22" s="3" t="s">
        <x:v>33</x:v>
      </x:c>
      <x:c r="B22" s="4" t="s">
        <x:v>34</x:v>
      </x:c>
    </x:row>
    <x:row r="23" ht="21.75" hidden="0" customHeight="1">
      <x:c r="A23" s="3" t="s">
        <x:v>35</x:v>
      </x:c>
      <x:c r="B23" s="31" t="d">
        <x:v>2026-10-18T17:00:00.000Z</x:v>
      </x:c>
    </x:row>
    <x:row r="24" ht="65" hidden="0" customHeight="1">
      <x:c r="A24" s="3" t="s">
        <x:v>36</x:v>
      </x:c>
      <x:c r="B24" s="33" t="str">
        <x:v>Codex · análisis y ejecución automatizada; revisión humana pendiente</x:v>
      </x:c>
    </x:row>
    <x:row r="25" ht="21.75" hidden="0" customHeight="1">
      <x:c r="A25" s="3" t="s">
        <x:v>37</x:v>
      </x:c>
      <x:c r="B25" s="5"/>
    </x:row>
    <x:row r="27" ht="15" hidden="0">
      <x:c r="A27" s="6" t="s">
        <x:v>38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ColWidth="8.6796875" defaultRowHeight="15"/>
  <x:cols>
    <x:col min="1" max="1" width="10" hidden="0" customWidth="1"/>
    <x:col min="2" max="2" width="16" hidden="0" customWidth="1"/>
    <x:col min="3" max="3" width="14" hidden="0" customWidth="1"/>
    <x:col min="4" max="4" width="30" hidden="0" customWidth="1"/>
    <x:col min="5" max="5" width="38" hidden="0" customWidth="1"/>
    <x:col min="6" max="6" width="13" hidden="0" customWidth="1"/>
    <x:col min="7" max="7" width="10" hidden="0" customWidth="1"/>
    <x:col min="8" max="8" width="30" hidden="0" customWidth="1"/>
    <x:col min="9" max="9" width="28" hidden="0" customWidth="1"/>
    <x:col min="10" max="10" width="42" hidden="0" customWidth="1"/>
    <x:col min="11" max="11" width="40" hidden="0" customWidth="1"/>
    <x:col min="12" max="12" width="55" hidden="0" customWidth="1"/>
    <x:col min="13" max="13" width="38" hidden="0" customWidth="1"/>
    <x:col min="14" max="14" width="38" hidden="0" customWidth="1"/>
    <x:col min="15" max="16" width="14" hidden="0" customWidth="1"/>
    <x:col min="17" max="17" width="20" hidden="0" customWidth="1"/>
    <x:col min="18" max="19" width="16" hidden="0" customWidth="1"/>
    <x:col min="20" max="20" width="28" hidden="0" customWidth="1"/>
    <x:col min="21" max="21" width="23" hidden="0" customWidth="1"/>
    <x:col min="22" max="22" width="55" hidden="0" customWidth="1"/>
    <x:col min="15" max="15" width="20" hidden="0" customWidth="1"/>
    <x:col min="16" max="16" width="20" hidden="0" customWidth="1"/>
    <x:col min="18" max="18" width="20" hidden="0" customWidth="1"/>
    <x:col min="19" max="19" width="45" hidden="0" customWidth="1"/>
  </x:cols>
  <x:sheetData>
    <x:row r="1" ht="27.75" hidden="0" customHeight="1">
      <x:c r="A1" s="1" t="s">
        <x:v>39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 ht="19.5" hidden="0" customHeight="1">
      <x:c r="A2" s="2" t="str">
        <x:v>Ejecución QA local · 18/10/2026 · Insumo para GA9-220501096-AA1-EV02 · Diseño original AA2-EV01 conservado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15" hidden="0">
      <x:c r="A3" s="7" t="str">
        <x:v>Resultados reales. En seguimiento = discrepancia de criterio pendiente de definición; Bloqueado = ejecución incompleta, sin aprobación. Evidencias referenciadas por CP.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</x:row>
    <x:row r="4" ht="64" hidden="0" customHeight="1">
      <x:c r="A4" s="8" t="s">
        <x:v>40</x:v>
      </x:c>
      <x:c r="B4" s="8" t="s">
        <x:v>41</x:v>
      </x:c>
      <x:c r="C4" s="8" t="s">
        <x:v>42</x:v>
      </x:c>
      <x:c r="D4" s="8" t="s">
        <x:v>43</x:v>
      </x:c>
      <x:c r="E4" s="8" t="s">
        <x:v>44</x:v>
      </x:c>
      <x:c r="F4" s="8" t="s">
        <x:v>45</x:v>
      </x:c>
      <x:c r="G4" s="8" t="s">
        <x:v>46</x:v>
      </x:c>
      <x:c r="H4" s="8" t="s">
        <x:v>47</x:v>
      </x:c>
      <x:c r="I4" s="8" t="s">
        <x:v>48</x:v>
      </x:c>
      <x:c r="J4" s="8" t="s">
        <x:v>49</x:v>
      </x:c>
      <x:c r="K4" s="8" t="s">
        <x:v>50</x:v>
      </x:c>
      <x:c r="L4" s="8" t="s">
        <x:v>51</x:v>
      </x:c>
      <x:c r="M4" s="8" t="s">
        <x:v>52</x:v>
      </x:c>
      <x:c r="N4" s="8" t="s">
        <x:v>53</x:v>
      </x:c>
      <x:c r="O4" s="8" t="s">
        <x:v>54</x:v>
      </x:c>
      <x:c r="P4" s="8" t="s">
        <x:v>55</x:v>
      </x:c>
      <x:c r="Q4" s="8" t="s">
        <x:v>56</x:v>
      </x:c>
      <x:c r="R4" s="8" t="s">
        <x:v>57</x:v>
      </x:c>
      <x:c r="S4" s="8" t="s">
        <x:v>58</x:v>
      </x:c>
      <x:c r="T4" s="8" t="s">
        <x:v>59</x:v>
      </x:c>
      <x:c r="U4" s="8" t="s">
        <x:v>60</x:v>
      </x:c>
      <x:c r="V4" s="8" t="s">
        <x:v>61</x:v>
      </x:c>
    </x:row>
    <x:row r="5" ht="100" hidden="0" customHeight="1">
      <x:c r="A5" s="9" t="s">
        <x:v>62</x:v>
      </x:c>
      <x:c r="B5" s="10" t="s">
        <x:v>63</x:v>
      </x:c>
      <x:c r="C5" s="10" t="s">
        <x:v>64</x:v>
      </x:c>
      <x:c r="D5" s="10" t="s">
        <x:v>65</x:v>
      </x:c>
      <x:c r="E5" s="10" t="s">
        <x:v>66</x:v>
      </x:c>
      <x:c r="F5" s="11" t="s">
        <x:v>67</x:v>
      </x:c>
      <x:c r="G5" s="11" t="s">
        <x:v>68</x:v>
      </x:c>
      <x:c r="H5" s="10" t="s">
        <x:v>69</x:v>
      </x:c>
      <x:c r="I5" s="10" t="s">
        <x:v>70</x:v>
      </x:c>
      <x:c r="J5" s="10" t="s">
        <x:v>71</x:v>
      </x:c>
      <x:c r="K5" s="10" t="s">
        <x:v>72</x:v>
      </x:c>
      <x:c r="L5" s="26" t="str">
        <x:v>API 200 con JWT; login real en Chromium redirige a /dashboard.</x:v>
      </x:c>
      <x:c r="M5" s="26" t="str">
        <x:v>Local aislado; dj_qa_6bbb430a113746c6956d6c16d37b8cbc; MariaDB 10.4.32; Express/Vite/Chromium</x:v>
      </x:c>
      <x:c r="N5" s="26" t="str">
        <x:v>Node.js test/assert/fetch, Playwright Chromium y consultas SQL mysql2</x:v>
      </x:c>
      <x:c r="O5" s="27" t="str">
        <x:v>Ejecutado</x:v>
      </x:c>
      <x:c r="P5" s="27" t="str">
        <x:v>Aprobado</x:v>
      </x:c>
      <x:c r="Q5" s="27" t="str">
        <x:v>No aplica</x:v>
      </x:c>
      <x:c r="R5" s="27" t="str">
        <x:v>No aplica</x:v>
      </x:c>
      <x:c r="S5" s="27" t="str">
        <x:v>ejecucion.json: results/http/sql filtrados por CP-001; capturas CP-001*.png cuando existen</x:v>
      </x:c>
      <x:c r="T5" s="26" t="str">
        <x:v>Codex · ejecución automatizada QA</x:v>
      </x:c>
      <x:c r="U5" s="25" t="d">
        <x:v>2026-10-18T19:09:48.335Z</x:v>
      </x:c>
      <x:c r="V5" s="26" t="str">
        <x:v>Verificación ejecutada. Ver alcance, contrato y rutas vigentes en INFORME_QA.md.</x:v>
      </x:c>
    </x:row>
    <x:row r="6" ht="100" hidden="0" customHeight="1">
      <x:c r="A6" s="12" t="s">
        <x:v>73</x:v>
      </x:c>
      <x:c r="B6" s="13" t="s">
        <x:v>63</x:v>
      </x:c>
      <x:c r="C6" s="13" t="s">
        <x:v>64</x:v>
      </x:c>
      <x:c r="D6" s="13" t="s">
        <x:v>74</x:v>
      </x:c>
      <x:c r="E6" s="13" t="s">
        <x:v>75</x:v>
      </x:c>
      <x:c r="F6" s="14" t="s">
        <x:v>76</x:v>
      </x:c>
      <x:c r="G6" s="14" t="s">
        <x:v>68</x:v>
      </x:c>
      <x:c r="H6" s="13" t="s">
        <x:v>77</x:v>
      </x:c>
      <x:c r="I6" s="13" t="s">
        <x:v>78</x:v>
      </x:c>
      <x:c r="J6" s="13" t="s">
        <x:v>79</x:v>
      </x:c>
      <x:c r="K6" s="13" t="s">
        <x:v>80</x:v>
      </x:c>
      <x:c r="L6" s="29" t="str">
        <x:v>API 401 sin token, mensaje genérico visible; localStorage sin sesión.</x:v>
      </x:c>
      <x:c r="M6" s="29" t="str">
        <x:v>Local aislado; dj_qa_6bbb430a113746c6956d6c16d37b8cbc; MariaDB 10.4.32; Express/Vite/Chromium</x:v>
      </x:c>
      <x:c r="N6" s="29" t="str">
        <x:v>Node.js test/assert/fetch, Playwright Chromium y consultas SQL mysql2</x:v>
      </x:c>
      <x:c r="O6" s="30" t="str">
        <x:v>Ejecutado</x:v>
      </x:c>
      <x:c r="P6" s="30" t="str">
        <x:v>Aprobado</x:v>
      </x:c>
      <x:c r="Q6" s="30" t="str">
        <x:v>No aplica</x:v>
      </x:c>
      <x:c r="R6" s="30" t="str">
        <x:v>No aplica</x:v>
      </x:c>
      <x:c r="S6" s="30" t="str">
        <x:v>ejecucion.json: results/http/sql filtrados por CP-002; capturas CP-002*.png cuando existen</x:v>
      </x:c>
      <x:c r="T6" s="29" t="str">
        <x:v>Codex · ejecución automatizada QA</x:v>
      </x:c>
      <x:c r="U6" s="28" t="d">
        <x:v>2026-10-18T19:09:50.440Z</x:v>
      </x:c>
      <x:c r="V6" s="29" t="str">
        <x:v>Verificación ejecutada. Ver alcance, contrato y rutas vigentes en INFORME_QA.md.</x:v>
      </x:c>
    </x:row>
    <x:row r="7" ht="100" hidden="0" customHeight="1">
      <x:c r="A7" s="9" t="s">
        <x:v>81</x:v>
      </x:c>
      <x:c r="B7" s="10" t="s">
        <x:v>63</x:v>
      </x:c>
      <x:c r="C7" s="10" t="s">
        <x:v>82</x:v>
      </x:c>
      <x:c r="D7" s="10" t="s">
        <x:v>83</x:v>
      </x:c>
      <x:c r="E7" s="10" t="s">
        <x:v>84</x:v>
      </x:c>
      <x:c r="F7" s="11" t="s">
        <x:v>85</x:v>
      </x:c>
      <x:c r="G7" s="11" t="s">
        <x:v>86</x:v>
      </x:c>
      <x:c r="H7" s="10" t="s">
        <x:v>87</x:v>
      </x:c>
      <x:c r="I7" s="10" t="s">
        <x:v>88</x:v>
      </x:c>
      <x:c r="J7" s="10" t="s">
        <x:v>89</x:v>
      </x:c>
      <x:c r="K7" s="10" t="s">
        <x:v>90</x:v>
      </x:c>
      <x:c r="L7" s="26" t="str">
        <x:v>Campos vacíos inválidos en navegador; 0 solicitudes de autenticación.</x:v>
      </x:c>
      <x:c r="M7" s="26" t="str">
        <x:v>Local aislado; dj_qa_6bbb430a113746c6956d6c16d37b8cbc; MariaDB 10.4.32; Express/Vite/Chromium</x:v>
      </x:c>
      <x:c r="N7" s="26" t="str">
        <x:v>Node.js test/assert/fetch, Playwright Chromium y consultas SQL mysql2</x:v>
      </x:c>
      <x:c r="O7" s="27" t="str">
        <x:v>Ejecutado</x:v>
      </x:c>
      <x:c r="P7" s="27" t="str">
        <x:v>Aprobado</x:v>
      </x:c>
      <x:c r="Q7" s="27" t="str">
        <x:v>No aplica</x:v>
      </x:c>
      <x:c r="R7" s="27" t="str">
        <x:v>No aplica</x:v>
      </x:c>
      <x:c r="S7" s="27" t="str">
        <x:v>ejecucion.json: results/http/sql filtrados por CP-003; capturas CP-003*.png cuando existen</x:v>
      </x:c>
      <x:c r="T7" s="26" t="str">
        <x:v>Codex · ejecución automatizada QA</x:v>
      </x:c>
      <x:c r="U7" s="25" t="d">
        <x:v>2026-10-18T19:09:51.854Z</x:v>
      </x:c>
      <x:c r="V7" s="26" t="str">
        <x:v>Verificación ejecutada. Ver alcance, contrato y rutas vigentes en INFORME_QA.md.</x:v>
      </x:c>
    </x:row>
    <x:row r="8" ht="100" hidden="0" customHeight="1">
      <x:c r="A8" s="12" t="s">
        <x:v>91</x:v>
      </x:c>
      <x:c r="B8" s="13" t="s">
        <x:v>63</x:v>
      </x:c>
      <x:c r="C8" s="13" t="s">
        <x:v>92</x:v>
      </x:c>
      <x:c r="D8" s="13" t="s">
        <x:v>93</x:v>
      </x:c>
      <x:c r="E8" s="13" t="s">
        <x:v>94</x:v>
      </x:c>
      <x:c r="F8" s="14" t="s">
        <x:v>95</x:v>
      </x:c>
      <x:c r="G8" s="14" t="s">
        <x:v>68</x:v>
      </x:c>
      <x:c r="H8" s="13" t="s">
        <x:v>96</x:v>
      </x:c>
      <x:c r="I8" s="13" t="s">
        <x:v>97</x:v>
      </x:c>
      <x:c r="J8" s="13" t="s">
        <x:v>98</x:v>
      </x:c>
      <x:c r="K8" s="13" t="s">
        <x:v>99</x:v>
      </x:c>
      <x:c r="L8" s="29" t="str">
        <x:v>GET /usuarios sin JWT: 401. Ruta privada redirige a /login.</x:v>
      </x:c>
      <x:c r="M8" s="29" t="str">
        <x:v>Local aislado; dj_qa_6bbb430a113746c6956d6c16d37b8cbc; MariaDB 10.4.32; Express/Vite/Chromium</x:v>
      </x:c>
      <x:c r="N8" s="29" t="str">
        <x:v>Node.js test/assert/fetch, Playwright Chromium y consultas SQL mysql2</x:v>
      </x:c>
      <x:c r="O8" s="30" t="str">
        <x:v>Ejecutado</x:v>
      </x:c>
      <x:c r="P8" s="30" t="str">
        <x:v>Aprobado</x:v>
      </x:c>
      <x:c r="Q8" s="30" t="str">
        <x:v>No aplica</x:v>
      </x:c>
      <x:c r="R8" s="30" t="str">
        <x:v>No aplica</x:v>
      </x:c>
      <x:c r="S8" s="30" t="str">
        <x:v>ejecucion.json: results/http/sql filtrados por CP-004; capturas CP-004*.png cuando existen</x:v>
      </x:c>
      <x:c r="T8" s="29" t="str">
        <x:v>Codex · ejecución automatizada QA</x:v>
      </x:c>
      <x:c r="U8" s="28" t="d">
        <x:v>2026-10-18T19:09:52.265Z</x:v>
      </x:c>
      <x:c r="V8" s="29" t="str">
        <x:v>Verificación ejecutada. Ver alcance, contrato y rutas vigentes en INFORME_QA.md.</x:v>
      </x:c>
    </x:row>
    <x:row r="9" ht="100" hidden="0" customHeight="1">
      <x:c r="A9" s="9" t="s">
        <x:v>100</x:v>
      </x:c>
      <x:c r="B9" s="10" t="s">
        <x:v>101</x:v>
      </x:c>
      <x:c r="C9" s="10" t="s">
        <x:v>102</x:v>
      </x:c>
      <x:c r="D9" s="10" t="s">
        <x:v>103</x:v>
      </x:c>
      <x:c r="E9" s="10" t="s">
        <x:v>104</x:v>
      </x:c>
      <x:c r="F9" s="11" t="s">
        <x:v>67</x:v>
      </x:c>
      <x:c r="G9" s="11" t="s">
        <x:v>86</x:v>
      </x:c>
      <x:c r="H9" s="10" t="s">
        <x:v>105</x:v>
      </x:c>
      <x:c r="I9" s="10" t="s">
        <x:v>106</x:v>
      </x:c>
      <x:c r="J9" s="10" t="s">
        <x:v>107</x:v>
      </x:c>
      <x:c r="K9" s="10" t="s">
        <x:v>108</x:v>
      </x:c>
      <x:c r="L9" s="26" t="str">
        <x:v>Usuarios con rol, sin contraseña/hash en JSON; listado visible en administración.</x:v>
      </x:c>
      <x:c r="M9" s="26" t="str">
        <x:v>Local aislado; dj_qa_6bbb430a113746c6956d6c16d37b8cbc; MariaDB 10.4.32; Express/Vite/Chromium</x:v>
      </x:c>
      <x:c r="N9" s="26" t="str">
        <x:v>Node.js test/assert/fetch, Playwright Chromium y consultas SQL mysql2</x:v>
      </x:c>
      <x:c r="O9" s="27" t="str">
        <x:v>Ejecutado</x:v>
      </x:c>
      <x:c r="P9" s="27" t="str">
        <x:v>Aprobado</x:v>
      </x:c>
      <x:c r="Q9" s="27" t="str">
        <x:v>No aplica</x:v>
      </x:c>
      <x:c r="R9" s="27" t="str">
        <x:v>No aplica</x:v>
      </x:c>
      <x:c r="S9" s="27" t="str">
        <x:v>ejecucion.json: results/http/sql filtrados por CP-005; capturas CP-005*.png cuando existen</x:v>
      </x:c>
      <x:c r="T9" s="26" t="str">
        <x:v>Codex · ejecución automatizada QA</x:v>
      </x:c>
      <x:c r="U9" s="25" t="d">
        <x:v>2026-10-18T19:09:52.658Z</x:v>
      </x:c>
      <x:c r="V9" s="26" t="str">
        <x:v>Verificación ejecutada. Ver alcance, contrato y rutas vigentes en INFORME_QA.md.</x:v>
      </x:c>
    </x:row>
    <x:row r="10" ht="100" hidden="0" customHeight="1">
      <x:c r="A10" s="12" t="s">
        <x:v>109</x:v>
      </x:c>
      <x:c r="B10" s="13" t="s">
        <x:v>101</x:v>
      </x:c>
      <x:c r="C10" s="13" t="s">
        <x:v>110</x:v>
      </x:c>
      <x:c r="D10" s="13" t="s">
        <x:v>111</x:v>
      </x:c>
      <x:c r="E10" s="13" t="s">
        <x:v>112</x:v>
      </x:c>
      <x:c r="F10" s="14" t="s">
        <x:v>67</x:v>
      </x:c>
      <x:c r="G10" s="14" t="s">
        <x:v>68</x:v>
      </x:c>
      <x:c r="H10" s="13" t="s">
        <x:v>113</x:v>
      </x:c>
      <x:c r="I10" s="13" t="s">
        <x:v>114</x:v>
      </x:c>
      <x:c r="J10" s="13" t="s">
        <x:v>115</x:v>
      </x:c>
      <x:c r="K10" s="13" t="s">
        <x:v>116</x:v>
      </x:c>
      <x:c r="L10" s="29" t="str">
        <x:v>201; bcrypt verificado en SQL, contraseña protegida; usuario visible en listado.</x:v>
      </x:c>
      <x:c r="M10" s="29" t="str">
        <x:v>Local aislado; dj_qa_6bbb430a113746c6956d6c16d37b8cbc; MariaDB 10.4.32; Express/Vite/Chromium</x:v>
      </x:c>
      <x:c r="N10" s="29" t="str">
        <x:v>Node.js test/assert/fetch, Playwright Chromium y consultas SQL mysql2</x:v>
      </x:c>
      <x:c r="O10" s="30" t="str">
        <x:v>Ejecutado</x:v>
      </x:c>
      <x:c r="P10" s="30" t="str">
        <x:v>Aprobado</x:v>
      </x:c>
      <x:c r="Q10" s="30" t="str">
        <x:v>No aplica</x:v>
      </x:c>
      <x:c r="R10" s="30" t="str">
        <x:v>No aplica</x:v>
      </x:c>
      <x:c r="S10" s="30" t="str">
        <x:v>ejecucion.json: results/http/sql filtrados por CP-006; capturas CP-006*.png cuando existen</x:v>
      </x:c>
      <x:c r="T10" s="29" t="str">
        <x:v>Codex · ejecución automatizada QA</x:v>
      </x:c>
      <x:c r="U10" s="28" t="d">
        <x:v>2026-10-18T19:09:53.338Z</x:v>
      </x:c>
      <x:c r="V10" s="29" t="str">
        <x:v>Verificación ejecutada. Ver alcance, contrato y rutas vigentes en INFORME_QA.md.</x:v>
      </x:c>
    </x:row>
    <x:row r="11" ht="100" hidden="0" customHeight="1">
      <x:c r="A11" s="9" t="s">
        <x:v>117</x:v>
      </x:c>
      <x:c r="B11" s="10" t="s">
        <x:v>101</x:v>
      </x:c>
      <x:c r="C11" s="10" t="s">
        <x:v>110</x:v>
      </x:c>
      <x:c r="D11" s="10" t="s">
        <x:v>118</x:v>
      </x:c>
      <x:c r="E11" s="10" t="s">
        <x:v>119</x:v>
      </x:c>
      <x:c r="F11" s="11" t="s">
        <x:v>76</x:v>
      </x:c>
      <x:c r="G11" s="11" t="s">
        <x:v>86</x:v>
      </x:c>
      <x:c r="H11" s="10" t="s">
        <x:v>120</x:v>
      </x:c>
      <x:c r="I11" s="10" t="s">
        <x:v>121</x:v>
      </x:c>
      <x:c r="J11" s="10" t="s">
        <x:v>122</x:v>
      </x:c>
      <x:c r="K11" s="10" t="s">
        <x:v>123</x:v>
      </x:c>
      <x:c r="L11" s="26" t="str">
        <x:v>Correo duplicado: 409; exactamente una fila en usuarios.</x:v>
      </x:c>
      <x:c r="M11" s="26" t="str">
        <x:v>Local aislado; dj_qa_6bbb430a113746c6956d6c16d37b8cbc; MariaDB 10.4.32; Express/Vite/Chromium</x:v>
      </x:c>
      <x:c r="N11" s="26" t="str">
        <x:v>Node.js test/assert/fetch, Playwright Chromium y consultas SQL mysql2</x:v>
      </x:c>
      <x:c r="O11" s="27" t="str">
        <x:v>Ejecutado</x:v>
      </x:c>
      <x:c r="P11" s="27" t="str">
        <x:v>Aprobado</x:v>
      </x:c>
      <x:c r="Q11" s="27" t="str">
        <x:v>No aplica</x:v>
      </x:c>
      <x:c r="R11" s="27" t="str">
        <x:v>No aplica</x:v>
      </x:c>
      <x:c r="S11" s="27" t="str">
        <x:v>ejecucion.json: results/http/sql filtrados por CP-007; capturas CP-007*.png cuando existen</x:v>
      </x:c>
      <x:c r="T11" s="26" t="str">
        <x:v>Codex · ejecución automatizada QA</x:v>
      </x:c>
      <x:c r="U11" s="25" t="d">
        <x:v>2026-10-18T19:09:53.585Z</x:v>
      </x:c>
      <x:c r="V11" s="26" t="str">
        <x:v>Verificación ejecutada. Ver alcance, contrato y rutas vigentes en INFORME_QA.md.</x:v>
      </x:c>
    </x:row>
    <x:row r="12" ht="100" hidden="0" customHeight="1">
      <x:c r="A12" s="12" t="s">
        <x:v>124</x:v>
      </x:c>
      <x:c r="B12" s="13" t="s">
        <x:v>101</x:v>
      </x:c>
      <x:c r="C12" s="13" t="s">
        <x:v>125</x:v>
      </x:c>
      <x:c r="D12" s="13" t="s">
        <x:v>126</x:v>
      </x:c>
      <x:c r="E12" s="13" t="s">
        <x:v>127</x:v>
      </x:c>
      <x:c r="F12" s="14" t="s">
        <x:v>67</x:v>
      </x:c>
      <x:c r="G12" s="14" t="s">
        <x:v>68</x:v>
      </x:c>
      <x:c r="H12" s="13" t="s">
        <x:v>128</x:v>
      </x:c>
      <x:c r="I12" s="13" t="s">
        <x:v>129</x:v>
      </x:c>
      <x:c r="J12" s="13" t="s">
        <x:v>130</x:v>
      </x:c>
      <x:c r="K12" s="13" t="s">
        <x:v>131</x:v>
      </x:c>
      <x:c r="L12" s="29" t="str">
        <x:v>No existe ruta para editar el rol: HTTP 404
404 !== 200
</x:v>
      </x:c>
      <x:c r="M12" s="29" t="str">
        <x:v>Local aislado; dj_qa_6bbb430a113746c6956d6c16d37b8cbc; MariaDB 10.4.32; Express/Vite/Chromium</x:v>
      </x:c>
      <x:c r="N12" s="29" t="str">
        <x:v>Node.js test/assert/fetch, Playwright Chromium y consultas SQL mysql2</x:v>
      </x:c>
      <x:c r="O12" s="30" t="str">
        <x:v>Ejecutado</x:v>
      </x:c>
      <x:c r="P12" s="30" t="str">
        <x:v>Rechazado</x:v>
      </x:c>
      <x:c r="Q12" s="30" t="str">
        <x:v>Media</x:v>
      </x:c>
      <x:c r="R12" s="30" t="str">
        <x:v>INC-001</x:v>
      </x:c>
      <x:c r="S12" s="30" t="str">
        <x:v>ejecucion.json: results/http/sql filtrados por CP-008; capturas CP-008*.png cuando existen</x:v>
      </x:c>
      <x:c r="T12" s="29" t="str">
        <x:v>Codex · ejecución automatizada QA</x:v>
      </x:c>
      <x:c r="U12" s="28" t="d">
        <x:v>2026-10-18T19:09:53.597Z</x:v>
      </x:c>
      <x:c r="V12" s="29" t="str">
        <x:v>Brecha funcional. Ver alcance, contrato y rutas vigentes en INFORME_QA.md.</x:v>
      </x:c>
    </x:row>
    <x:row r="13" ht="100" hidden="0" customHeight="1">
      <x:c r="A13" s="9" t="s">
        <x:v>132</x:v>
      </x:c>
      <x:c r="B13" s="10" t="s">
        <x:v>101</x:v>
      </x:c>
      <x:c r="C13" s="10" t="s">
        <x:v>133</x:v>
      </x:c>
      <x:c r="D13" s="10" t="s">
        <x:v>134</x:v>
      </x:c>
      <x:c r="E13" s="10" t="s">
        <x:v>135</x:v>
      </x:c>
      <x:c r="F13" s="11" t="s">
        <x:v>95</x:v>
      </x:c>
      <x:c r="G13" s="11" t="s">
        <x:v>68</x:v>
      </x:c>
      <x:c r="H13" s="10" t="s">
        <x:v>136</x:v>
      </x:c>
      <x:c r="I13" s="10" t="s">
        <x:v>137</x:v>
      </x:c>
      <x:c r="J13" s="10" t="s">
        <x:v>138</x:v>
      </x:c>
      <x:c r="K13" s="10" t="s">
        <x:v>139</x:v>
      </x:c>
      <x:c r="L13" s="26" t="str">
        <x:v>Mesero: POST registrar 403 y vista administrativa denegada.</x:v>
      </x:c>
      <x:c r="M13" s="26" t="str">
        <x:v>Local aislado; dj_qa_6bbb430a113746c6956d6c16d37b8cbc; MariaDB 10.4.32; Express/Vite/Chromium</x:v>
      </x:c>
      <x:c r="N13" s="26" t="str">
        <x:v>Node.js test/assert/fetch, Playwright Chromium y consultas SQL mysql2</x:v>
      </x:c>
      <x:c r="O13" s="27" t="str">
        <x:v>Ejecutado</x:v>
      </x:c>
      <x:c r="P13" s="27" t="str">
        <x:v>Aprobado</x:v>
      </x:c>
      <x:c r="Q13" s="27" t="str">
        <x:v>No aplica</x:v>
      </x:c>
      <x:c r="R13" s="27" t="str">
        <x:v>No aplica</x:v>
      </x:c>
      <x:c r="S13" s="27" t="str">
        <x:v>ejecucion.json: results/http/sql filtrados por CP-009; capturas CP-009*.png cuando existen</x:v>
      </x:c>
      <x:c r="T13" s="26" t="str">
        <x:v>Codex · ejecución automatizada QA</x:v>
      </x:c>
      <x:c r="U13" s="25" t="d">
        <x:v>2026-10-18T19:09:54.554Z</x:v>
      </x:c>
      <x:c r="V13" s="26" t="str">
        <x:v>Verificación ejecutada. Ver alcance, contrato y rutas vigentes en INFORME_QA.md.</x:v>
      </x:c>
    </x:row>
    <x:row r="14" ht="100" hidden="0" customHeight="1">
      <x:c r="A14" s="12" t="s">
        <x:v>140</x:v>
      </x:c>
      <x:c r="B14" s="13" t="s">
        <x:v>141</x:v>
      </x:c>
      <x:c r="C14" s="13" t="s">
        <x:v>142</x:v>
      </x:c>
      <x:c r="D14" s="13" t="s">
        <x:v>143</x:v>
      </x:c>
      <x:c r="E14" s="13" t="s">
        <x:v>144</x:v>
      </x:c>
      <x:c r="F14" s="14" t="s">
        <x:v>67</x:v>
      </x:c>
      <x:c r="G14" s="14" t="s">
        <x:v>86</x:v>
      </x:c>
      <x:c r="H14" s="13" t="s">
        <x:v>145</x:v>
      </x:c>
      <x:c r="I14" s="13" t="s">
        <x:v>146</x:v>
      </x:c>
      <x:c r="J14" s="13" t="s">
        <x:v>147</x:v>
      </x:c>
      <x:c r="K14" s="13" t="s">
        <x:v>148</x:v>
      </x:c>
      <x:c r="L14" s="29" t="str">
        <x:v>Creación de categoría no implementada: HTTP 404
404 !== 201
</x:v>
      </x:c>
      <x:c r="M14" s="29" t="str">
        <x:v>Local aislado; dj_qa_6bbb430a113746c6956d6c16d37b8cbc; MariaDB 10.4.32; Express/Vite/Chromium</x:v>
      </x:c>
      <x:c r="N14" s="29" t="str">
        <x:v>Node.js test/assert/fetch, Playwright Chromium y consultas SQL mysql2</x:v>
      </x:c>
      <x:c r="O14" s="30" t="str">
        <x:v>Ejecutado</x:v>
      </x:c>
      <x:c r="P14" s="30" t="str">
        <x:v>Rechazado</x:v>
      </x:c>
      <x:c r="Q14" s="30" t="str">
        <x:v>Media</x:v>
      </x:c>
      <x:c r="R14" s="30" t="str">
        <x:v>INC-002</x:v>
      </x:c>
      <x:c r="S14" s="30" t="str">
        <x:v>ejecucion.json: results/http/sql filtrados por CP-010; capturas CP-010*.png cuando existen</x:v>
      </x:c>
      <x:c r="T14" s="29" t="str">
        <x:v>Codex · ejecución automatizada QA</x:v>
      </x:c>
      <x:c r="U14" s="28" t="d">
        <x:v>2026-10-18T19:09:54.572Z</x:v>
      </x:c>
      <x:c r="V14" s="29" t="str">
        <x:v>Brecha funcional. Ver alcance, contrato y rutas vigentes en INFORME_QA.md.</x:v>
      </x:c>
    </x:row>
    <x:row r="15" ht="100" hidden="0" customHeight="1">
      <x:c r="A15" s="9" t="s">
        <x:v>149</x:v>
      </x:c>
      <x:c r="B15" s="10" t="s">
        <x:v>141</x:v>
      </x:c>
      <x:c r="C15" s="10" t="s">
        <x:v>142</x:v>
      </x:c>
      <x:c r="D15" s="10" t="s">
        <x:v>150</x:v>
      </x:c>
      <x:c r="E15" s="10" t="s">
        <x:v>151</x:v>
      </x:c>
      <x:c r="F15" s="11" t="s">
        <x:v>85</x:v>
      </x:c>
      <x:c r="G15" s="11" t="s">
        <x:v>86</x:v>
      </x:c>
      <x:c r="H15" s="10" t="s">
        <x:v>152</x:v>
      </x:c>
      <x:c r="I15" s="10" t="s">
        <x:v>153</x:v>
      </x:c>
      <x:c r="J15" s="10" t="s">
        <x:v>154</x:v>
      </x:c>
      <x:c r="K15" s="10" t="s">
        <x:v>155</x:v>
      </x:c>
      <x:c r="L15" s="26" t="str">
        <x:v>Ruta inexistente devuelve 404/404; no valida nombre vacío ni duplicado.</x:v>
      </x:c>
      <x:c r="M15" s="26" t="str">
        <x:v>Local aislado; dj_qa_6bbb430a113746c6956d6c16d37b8cbc; MariaDB 10.4.32; Express/Vite/Chromium</x:v>
      </x:c>
      <x:c r="N15" s="26" t="str">
        <x:v>Node.js test/assert/fetch, Playwright Chromium y consultas SQL mysql2</x:v>
      </x:c>
      <x:c r="O15" s="27" t="str">
        <x:v>Ejecutado</x:v>
      </x:c>
      <x:c r="P15" s="27" t="str">
        <x:v>Rechazado</x:v>
      </x:c>
      <x:c r="Q15" s="27" t="str">
        <x:v>Media</x:v>
      </x:c>
      <x:c r="R15" s="27" t="str">
        <x:v>INC-002</x:v>
      </x:c>
      <x:c r="S15" s="27" t="str">
        <x:v>ejecucion.json: results/http/sql filtrados por CP-011; capturas CP-011*.png cuando existen</x:v>
      </x:c>
      <x:c r="T15" s="26" t="str">
        <x:v>Codex · ejecución automatizada QA</x:v>
      </x:c>
      <x:c r="U15" s="25" t="d">
        <x:v>2026-10-18T19:09:54.604Z</x:v>
      </x:c>
      <x:c r="V15" s="26" t="str">
        <x:v>Brecha funcional. Ver alcance, contrato y rutas vigentes en INFORME_QA.md.</x:v>
      </x:c>
    </x:row>
    <x:row r="16" ht="100" hidden="0" customHeight="1">
      <x:c r="A16" s="12" t="s">
        <x:v>156</x:v>
      </x:c>
      <x:c r="B16" s="13" t="s">
        <x:v>141</x:v>
      </x:c>
      <x:c r="C16" s="13" t="s">
        <x:v>157</x:v>
      </x:c>
      <x:c r="D16" s="13" t="s">
        <x:v>158</x:v>
      </x:c>
      <x:c r="E16" s="13" t="s">
        <x:v>159</x:v>
      </x:c>
      <x:c r="F16" s="14" t="s">
        <x:v>67</x:v>
      </x:c>
      <x:c r="G16" s="14" t="s">
        <x:v>86</x:v>
      </x:c>
      <x:c r="H16" s="13" t="s">
        <x:v>160</x:v>
      </x:c>
      <x:c r="I16" s="13" t="s">
        <x:v>161</x:v>
      </x:c>
      <x:c r="J16" s="13" t="s">
        <x:v>162</x:v>
      </x:c>
      <x:c r="K16" s="13" t="s">
        <x:v>163</x:v>
      </x:c>
      <x:c r="L16" s="29" t="str">
        <x:v>200; arreglo JSON datos contiene categoría sembrada (envoltorio del contrato actual).</x:v>
      </x:c>
      <x:c r="M16" s="29" t="str">
        <x:v>Local aislado; dj_qa_6bbb430a113746c6956d6c16d37b8cbc; MariaDB 10.4.32; Express/Vite/Chromium</x:v>
      </x:c>
      <x:c r="N16" s="29" t="str">
        <x:v>Node.js test/assert/fetch, Playwright Chromium y consultas SQL mysql2</x:v>
      </x:c>
      <x:c r="O16" s="30" t="str">
        <x:v>Ejecutado</x:v>
      </x:c>
      <x:c r="P16" s="30" t="str">
        <x:v>Aprobado</x:v>
      </x:c>
      <x:c r="Q16" s="30" t="str">
        <x:v>No aplica</x:v>
      </x:c>
      <x:c r="R16" s="30" t="str">
        <x:v>No aplica</x:v>
      </x:c>
      <x:c r="S16" s="30" t="str">
        <x:v>ejecucion.json: results/http/sql filtrados por CP-012; capturas CP-012*.png cuando existen</x:v>
      </x:c>
      <x:c r="T16" s="29" t="str">
        <x:v>Codex · ejecución automatizada QA</x:v>
      </x:c>
      <x:c r="U16" s="28" t="d">
        <x:v>2026-10-18T19:09:54.620Z</x:v>
      </x:c>
      <x:c r="V16" s="29" t="str">
        <x:v>Verificación ejecutada. Ver alcance, contrato y rutas vigentes en INFORME_QA.md.</x:v>
      </x:c>
    </x:row>
    <x:row r="17" ht="100" hidden="0" customHeight="1">
      <x:c r="A17" s="9" t="s">
        <x:v>164</x:v>
      </x:c>
      <x:c r="B17" s="10" t="s">
        <x:v>141</x:v>
      </x:c>
      <x:c r="C17" s="10" t="s">
        <x:v>165</x:v>
      </x:c>
      <x:c r="D17" s="10" t="s">
        <x:v>166</x:v>
      </x:c>
      <x:c r="E17" s="10" t="s">
        <x:v>167</x:v>
      </x:c>
      <x:c r="F17" s="11" t="s">
        <x:v>67</x:v>
      </x:c>
      <x:c r="G17" s="11" t="s">
        <x:v>168</x:v>
      </x:c>
      <x:c r="H17" s="10" t="s">
        <x:v>169</x:v>
      </x:c>
      <x:c r="I17" s="10" t="s">
        <x:v>170</x:v>
      </x:c>
      <x:c r="J17" s="10" t="s">
        <x:v>171</x:v>
      </x:c>
      <x:c r="K17" s="10" t="s">
        <x:v>172</x:v>
      </x:c>
      <x:c r="L17" s="26" t="str">
        <x:v>Actualización de categoría no implementada: HTTP 404
404 !== 200
</x:v>
      </x:c>
      <x:c r="M17" s="26" t="str">
        <x:v>Local aislado; dj_qa_6bbb430a113746c6956d6c16d37b8cbc; MariaDB 10.4.32; Express/Vite/Chromium</x:v>
      </x:c>
      <x:c r="N17" s="26" t="str">
        <x:v>Node.js test/assert/fetch, Playwright Chromium y consultas SQL mysql2</x:v>
      </x:c>
      <x:c r="O17" s="27" t="str">
        <x:v>Ejecutado</x:v>
      </x:c>
      <x:c r="P17" s="27" t="str">
        <x:v>Rechazado</x:v>
      </x:c>
      <x:c r="Q17" s="27" t="str">
        <x:v>Media</x:v>
      </x:c>
      <x:c r="R17" s="27" t="str">
        <x:v>INC-002</x:v>
      </x:c>
      <x:c r="S17" s="27" t="str">
        <x:v>ejecucion.json: results/http/sql filtrados por CP-013; capturas CP-013*.png cuando existen</x:v>
      </x:c>
      <x:c r="T17" s="26" t="str">
        <x:v>Codex · ejecución automatizada QA</x:v>
      </x:c>
      <x:c r="U17" s="25" t="d">
        <x:v>2026-10-18T19:09:54.624Z</x:v>
      </x:c>
      <x:c r="V17" s="26" t="str">
        <x:v>Brecha funcional. Ver alcance, contrato y rutas vigentes en INFORME_QA.md.</x:v>
      </x:c>
    </x:row>
    <x:row r="18" ht="100" hidden="0" customHeight="1">
      <x:c r="A18" s="12" t="s">
        <x:v>173</x:v>
      </x:c>
      <x:c r="B18" s="13" t="s">
        <x:v>174</x:v>
      </x:c>
      <x:c r="C18" s="13" t="s">
        <x:v>175</x:v>
      </x:c>
      <x:c r="D18" s="13" t="s">
        <x:v>176</x:v>
      </x:c>
      <x:c r="E18" s="13" t="s">
        <x:v>177</x:v>
      </x:c>
      <x:c r="F18" s="14" t="s">
        <x:v>67</x:v>
      </x:c>
      <x:c r="G18" s="14" t="s">
        <x:v>68</x:v>
      </x:c>
      <x:c r="H18" s="13" t="s">
        <x:v>178</x:v>
      </x:c>
      <x:c r="I18" s="13" t="s">
        <x:v>179</x:v>
      </x:c>
      <x:c r="J18" s="13" t="s">
        <x:v>180</x:v>
      </x:c>
      <x:c r="K18" s="13" t="s">
        <x:v>181</x:v>
      </x:c>
      <x:c r="L18" s="29" t="str">
        <x:v>201; producto asociado a categoría 1, stock 24 en SQL y visible en frontend.</x:v>
      </x:c>
      <x:c r="M18" s="29" t="str">
        <x:v>Local aislado; dj_qa_6bbb430a113746c6956d6c16d37b8cbc; MariaDB 10.4.32; Express/Vite/Chromium</x:v>
      </x:c>
      <x:c r="N18" s="29" t="str">
        <x:v>Node.js test/assert/fetch, Playwright Chromium y consultas SQL mysql2</x:v>
      </x:c>
      <x:c r="O18" s="30" t="str">
        <x:v>Ejecutado</x:v>
      </x:c>
      <x:c r="P18" s="30" t="str">
        <x:v>Aprobado</x:v>
      </x:c>
      <x:c r="Q18" s="30" t="str">
        <x:v>No aplica</x:v>
      </x:c>
      <x:c r="R18" s="30" t="str">
        <x:v>No aplica</x:v>
      </x:c>
      <x:c r="S18" s="30" t="str">
        <x:v>ejecucion.json: results/http/sql filtrados por CP-014; capturas CP-014*.png cuando existen</x:v>
      </x:c>
      <x:c r="T18" s="29" t="str">
        <x:v>Codex · ejecución automatizada QA</x:v>
      </x:c>
      <x:c r="U18" s="28" t="d">
        <x:v>2026-10-18T19:09:55.005Z</x:v>
      </x:c>
      <x:c r="V18" s="29" t="str">
        <x:v>Verificación ejecutada. Ver alcance, contrato y rutas vigentes en INFORME_QA.md.</x:v>
      </x:c>
    </x:row>
    <x:row r="19" ht="100" hidden="0" customHeight="1">
      <x:c r="A19" s="9" t="s">
        <x:v>182</x:v>
      </x:c>
      <x:c r="B19" s="10" t="s">
        <x:v>174</x:v>
      </x:c>
      <x:c r="C19" s="10" t="s">
        <x:v>175</x:v>
      </x:c>
      <x:c r="D19" s="10" t="s">
        <x:v>183</x:v>
      </x:c>
      <x:c r="E19" s="10" t="s">
        <x:v>184</x:v>
      </x:c>
      <x:c r="F19" s="11" t="s">
        <x:v>85</x:v>
      </x:c>
      <x:c r="G19" s="11" t="s">
        <x:v>68</x:v>
      </x:c>
      <x:c r="H19" s="10" t="s">
        <x:v>185</x:v>
      </x:c>
      <x:c r="I19" s="10" t="s">
        <x:v>186</x:v>
      </x:c>
      <x:c r="J19" s="10" t="s">
        <x:v>187</x:v>
      </x:c>
      <x:c r="K19" s="10" t="s">
        <x:v>188</x:v>
      </x:c>
      <x:c r="L19" s="26" t="str">
        <x:v>Precios -1000, 0 y texto: 400, sin nuevas filas.</x:v>
      </x:c>
      <x:c r="M19" s="26" t="str">
        <x:v>Local aislado; dj_qa_6bbb430a113746c6956d6c16d37b8cbc; MariaDB 10.4.32; Express/Vite/Chromium</x:v>
      </x:c>
      <x:c r="N19" s="26" t="str">
        <x:v>Node.js test/assert/fetch, Playwright Chromium y consultas SQL mysql2</x:v>
      </x:c>
      <x:c r="O19" s="27" t="str">
        <x:v>Ejecutado</x:v>
      </x:c>
      <x:c r="P19" s="27" t="str">
        <x:v>Aprobado</x:v>
      </x:c>
      <x:c r="Q19" s="27" t="str">
        <x:v>No aplica</x:v>
      </x:c>
      <x:c r="R19" s="27" t="str">
        <x:v>No aplica</x:v>
      </x:c>
      <x:c r="S19" s="27" t="str">
        <x:v>ejecucion.json: results/http/sql filtrados por CP-015; capturas CP-015*.png cuando existen</x:v>
      </x:c>
      <x:c r="T19" s="26" t="str">
        <x:v>Codex · ejecución automatizada QA</x:v>
      </x:c>
      <x:c r="U19" s="25" t="d">
        <x:v>2026-10-18T19:09:55.045Z</x:v>
      </x:c>
      <x:c r="V19" s="26" t="str">
        <x:v>Verificación ejecutada. Ver alcance, contrato y rutas vigentes en INFORME_QA.md.</x:v>
      </x:c>
    </x:row>
    <x:row r="20" ht="100" hidden="0" customHeight="1">
      <x:c r="A20" s="12" t="s">
        <x:v>189</x:v>
      </x:c>
      <x:c r="B20" s="13" t="s">
        <x:v>174</x:v>
      </x:c>
      <x:c r="C20" s="13" t="s">
        <x:v>175</x:v>
      </x:c>
      <x:c r="D20" s="13" t="s">
        <x:v>190</x:v>
      </x:c>
      <x:c r="E20" s="13" t="s">
        <x:v>191</x:v>
      </x:c>
      <x:c r="F20" s="14" t="s">
        <x:v>76</x:v>
      </x:c>
      <x:c r="G20" s="14" t="s">
        <x:v>86</x:v>
      </x:c>
      <x:c r="H20" s="13" t="s">
        <x:v>192</x:v>
      </x:c>
      <x:c r="I20" s="13" t="s">
        <x:v>193</x:v>
      </x:c>
      <x:c r="J20" s="13" t="s">
        <x:v>194</x:v>
      </x:c>
      <x:c r="K20" s="13" t="s">
        <x:v>195</x:v>
      </x:c>
      <x:c r="L20" s="29" t="str">
        <x:v>Categoría inexistente: 404 controlado y 0 registros insertados.</x:v>
      </x:c>
      <x:c r="M20" s="29" t="str">
        <x:v>Local aislado; dj_qa_6bbb430a113746c6956d6c16d37b8cbc; MariaDB 10.4.32; Express/Vite/Chromium</x:v>
      </x:c>
      <x:c r="N20" s="29" t="str">
        <x:v>Node.js test/assert/fetch, Playwright Chromium y consultas SQL mysql2</x:v>
      </x:c>
      <x:c r="O20" s="30" t="str">
        <x:v>Ejecutado</x:v>
      </x:c>
      <x:c r="P20" s="30" t="str">
        <x:v>Aprobado</x:v>
      </x:c>
      <x:c r="Q20" s="30" t="str">
        <x:v>No aplica</x:v>
      </x:c>
      <x:c r="R20" s="30" t="str">
        <x:v>No aplica</x:v>
      </x:c>
      <x:c r="S20" s="30" t="str">
        <x:v>ejecucion.json: results/http/sql filtrados por CP-016; capturas CP-016*.png cuando existen</x:v>
      </x:c>
      <x:c r="T20" s="29" t="str">
        <x:v>Codex · ejecución automatizada QA</x:v>
      </x:c>
      <x:c r="U20" s="28" t="d">
        <x:v>2026-10-18T19:09:55.062Z</x:v>
      </x:c>
      <x:c r="V20" s="29" t="str">
        <x:v>Verificación ejecutada. Ver alcance, contrato y rutas vigentes en INFORME_QA.md.</x:v>
      </x:c>
    </x:row>
    <x:row r="21" ht="100" hidden="0" customHeight="1">
      <x:c r="A21" s="9" t="s">
        <x:v>196</x:v>
      </x:c>
      <x:c r="B21" s="10" t="s">
        <x:v>174</x:v>
      </x:c>
      <x:c r="C21" s="10" t="s">
        <x:v>197</x:v>
      </x:c>
      <x:c r="D21" s="10" t="s">
        <x:v>198</x:v>
      </x:c>
      <x:c r="E21" s="10" t="s">
        <x:v>199</x:v>
      </x:c>
      <x:c r="F21" s="11" t="s">
        <x:v>67</x:v>
      </x:c>
      <x:c r="G21" s="11" t="s">
        <x:v>86</x:v>
      </x:c>
      <x:c r="H21" s="10" t="s">
        <x:v>200</x:v>
      </x:c>
      <x:c r="I21" s="10" t="s">
        <x:v>201</x:v>
      </x:c>
      <x:c r="J21" s="10" t="s">
        <x:v>202</x:v>
      </x:c>
      <x:c r="K21" s="10" t="s">
        <x:v>203</x:v>
      </x:c>
      <x:c r="L21" s="26" t="str">
        <x:v>Listado y detalle 200 con datos coherentes; ID inexistente 404.</x:v>
      </x:c>
      <x:c r="M21" s="26" t="str">
        <x:v>Local aislado; dj_qa_6bbb430a113746c6956d6c16d37b8cbc; MariaDB 10.4.32; Express/Vite/Chromium</x:v>
      </x:c>
      <x:c r="N21" s="26" t="str">
        <x:v>Node.js test/assert/fetch, Playwright Chromium y consultas SQL mysql2</x:v>
      </x:c>
      <x:c r="O21" s="27" t="str">
        <x:v>Ejecutado</x:v>
      </x:c>
      <x:c r="P21" s="27" t="str">
        <x:v>Aprobado</x:v>
      </x:c>
      <x:c r="Q21" s="27" t="str">
        <x:v>No aplica</x:v>
      </x:c>
      <x:c r="R21" s="27" t="str">
        <x:v>No aplica</x:v>
      </x:c>
      <x:c r="S21" s="27" t="str">
        <x:v>ejecucion.json: results/http/sql filtrados por CP-017; capturas CP-017*.png cuando existen</x:v>
      </x:c>
      <x:c r="T21" s="26" t="str">
        <x:v>Codex · ejecución automatizada QA</x:v>
      </x:c>
      <x:c r="U21" s="25" t="d">
        <x:v>2026-10-18T19:09:55.106Z</x:v>
      </x:c>
      <x:c r="V21" s="26" t="str">
        <x:v>Verificación ejecutada. Ver alcance, contrato y rutas vigentes en INFORME_QA.md.</x:v>
      </x:c>
    </x:row>
    <x:row r="22" ht="100" hidden="0" customHeight="1">
      <x:c r="A22" s="12" t="s">
        <x:v>204</x:v>
      </x:c>
      <x:c r="B22" s="13" t="s">
        <x:v>174</x:v>
      </x:c>
      <x:c r="C22" s="13" t="s">
        <x:v>205</x:v>
      </x:c>
      <x:c r="D22" s="13" t="s">
        <x:v>206</x:v>
      </x:c>
      <x:c r="E22" s="13" t="s">
        <x:v>207</x:v>
      </x:c>
      <x:c r="F22" s="14" t="s">
        <x:v>67</x:v>
      </x:c>
      <x:c r="G22" s="14" t="s">
        <x:v>86</x:v>
      </x:c>
      <x:c r="H22" s="13" t="s">
        <x:v>208</x:v>
      </x:c>
      <x:c r="I22" s="13" t="s">
        <x:v>209</x:v>
      </x:c>
      <x:c r="J22" s="13" t="s">
        <x:v>210</x:v>
      </x:c>
      <x:c r="K22" s="13" t="s">
        <x:v>211</x:v>
      </x:c>
      <x:c r="L22" s="29" t="str">
        <x:v>Precio actualizado a 9000 en API/SQL y producto visible tras recarga.</x:v>
      </x:c>
      <x:c r="M22" s="29" t="str">
        <x:v>Local aislado; dj_qa_6bbb430a113746c6956d6c16d37b8cbc; MariaDB 10.4.32; Express/Vite/Chromium</x:v>
      </x:c>
      <x:c r="N22" s="29" t="str">
        <x:v>Node.js test/assert/fetch, Playwright Chromium y consultas SQL mysql2</x:v>
      </x:c>
      <x:c r="O22" s="30" t="str">
        <x:v>Ejecutado</x:v>
      </x:c>
      <x:c r="P22" s="30" t="str">
        <x:v>Aprobado</x:v>
      </x:c>
      <x:c r="Q22" s="30" t="str">
        <x:v>No aplica</x:v>
      </x:c>
      <x:c r="R22" s="30" t="str">
        <x:v>No aplica</x:v>
      </x:c>
      <x:c r="S22" s="30" t="str">
        <x:v>ejecucion.json: results/http/sql filtrados por CP-018; capturas CP-018*.png cuando existen</x:v>
      </x:c>
      <x:c r="T22" s="29" t="str">
        <x:v>Codex · ejecución automatizada QA</x:v>
      </x:c>
      <x:c r="U22" s="28" t="d">
        <x:v>2026-10-18T19:09:55.462Z</x:v>
      </x:c>
      <x:c r="V22" s="29" t="str">
        <x:v>Verificación ejecutada. Ver alcance, contrato y rutas vigentes en INFORME_QA.md.</x:v>
      </x:c>
    </x:row>
    <x:row r="23" ht="100" hidden="0" customHeight="1">
      <x:c r="A23" s="9" t="s">
        <x:v>212</x:v>
      </x:c>
      <x:c r="B23" s="10" t="s">
        <x:v>213</x:v>
      </x:c>
      <x:c r="C23" s="10" t="s">
        <x:v>214</x:v>
      </x:c>
      <x:c r="D23" s="10" t="s">
        <x:v>215</x:v>
      </x:c>
      <x:c r="E23" s="10" t="s">
        <x:v>216</x:v>
      </x:c>
      <x:c r="F23" s="11" t="s">
        <x:v>67</x:v>
      </x:c>
      <x:c r="G23" s="11" t="s">
        <x:v>68</x:v>
      </x:c>
      <x:c r="H23" s="10" t="s">
        <x:v>217</x:v>
      </x:c>
      <x:c r="I23" s="10" t="s">
        <x:v>218</x:v>
      </x:c>
      <x:c r="J23" s="10" t="s">
        <x:v>219</x:v>
      </x:c>
      <x:c r="K23" s="10" t="s">
        <x:v>220</x:v>
      </x:c>
      <x:c r="L23" s="26" t="str">
        <x:v>Consulta de existencias mediante /productos (ruta vigente); SQL y API coinciden y listado visible.</x:v>
      </x:c>
      <x:c r="M23" s="26" t="str">
        <x:v>Local aislado; dj_qa_6bbb430a113746c6956d6c16d37b8cbc; MariaDB 10.4.32; Express/Vite/Chromium</x:v>
      </x:c>
      <x:c r="N23" s="26" t="str">
        <x:v>Node.js test/assert/fetch, Playwright Chromium y consultas SQL mysql2</x:v>
      </x:c>
      <x:c r="O23" s="27" t="str">
        <x:v>Ejecutado</x:v>
      </x:c>
      <x:c r="P23" s="27" t="str">
        <x:v>Aprobado</x:v>
      </x:c>
      <x:c r="Q23" s="27" t="str">
        <x:v>No aplica</x:v>
      </x:c>
      <x:c r="R23" s="27" t="str">
        <x:v>No aplica</x:v>
      </x:c>
      <x:c r="S23" s="27" t="str">
        <x:v>ejecucion.json: results/http/sql filtrados por CP-019; capturas CP-019*.png cuando existen</x:v>
      </x:c>
      <x:c r="T23" s="26" t="str">
        <x:v>Codex · ejecución automatizada QA</x:v>
      </x:c>
      <x:c r="U23" s="25" t="d">
        <x:v>2026-10-18T19:09:55.762Z</x:v>
      </x:c>
      <x:c r="V23" s="26" t="str">
        <x:v>Verificación ejecutada. Ver alcance, contrato y rutas vigentes en INFORME_QA.md.</x:v>
      </x:c>
    </x:row>
    <x:row r="24" ht="100" hidden="0" customHeight="1">
      <x:c r="A24" s="12" t="s">
        <x:v>221</x:v>
      </x:c>
      <x:c r="B24" s="13" t="s">
        <x:v>213</x:v>
      </x:c>
      <x:c r="C24" s="13" t="s">
        <x:v>222</x:v>
      </x:c>
      <x:c r="D24" s="13" t="s">
        <x:v>223</x:v>
      </x:c>
      <x:c r="E24" s="13" t="s">
        <x:v>224</x:v>
      </x:c>
      <x:c r="F24" s="14" t="s">
        <x:v>67</x:v>
      </x:c>
      <x:c r="G24" s="14" t="s">
        <x:v>68</x:v>
      </x:c>
      <x:c r="H24" s="13" t="s">
        <x:v>225</x:v>
      </x:c>
      <x:c r="I24" s="13" t="s">
        <x:v>226</x:v>
      </x:c>
      <x:c r="J24" s="13" t="s">
        <x:v>227</x:v>
      </x:c>
      <x:c r="K24" s="13" t="s">
        <x:v>228</x:v>
      </x:c>
      <x:c r="L24" s="29" t="str">
        <x:v>Ajuste absoluto 100 a 124: incremento +24 y movimiento persistido atómicamente.</x:v>
      </x:c>
      <x:c r="M24" s="29" t="str">
        <x:v>Local aislado; dj_qa_6bbb430a113746c6956d6c16d37b8cbc; MariaDB 10.4.32; Express/Vite/Chromium</x:v>
      </x:c>
      <x:c r="N24" s="29" t="str">
        <x:v>Node.js test/assert/fetch, Playwright Chromium y consultas SQL mysql2</x:v>
      </x:c>
      <x:c r="O24" s="30" t="str">
        <x:v>Ejecutado</x:v>
      </x:c>
      <x:c r="P24" s="30" t="str">
        <x:v>Aprobado</x:v>
      </x:c>
      <x:c r="Q24" s="30" t="str">
        <x:v>No aplica</x:v>
      </x:c>
      <x:c r="R24" s="30" t="str">
        <x:v>No aplica</x:v>
      </x:c>
      <x:c r="S24" s="30" t="str">
        <x:v>ejecucion.json: results/http/sql filtrados por CP-020; capturas CP-020*.png cuando existen</x:v>
      </x:c>
      <x:c r="T24" s="29" t="str">
        <x:v>Codex · ejecución automatizada QA</x:v>
      </x:c>
      <x:c r="U24" s="28" t="d">
        <x:v>2026-10-18T19:09:55.781Z</x:v>
      </x:c>
      <x:c r="V24" s="29" t="str">
        <x:v>Verificación ejecutada. Ver alcance, contrato y rutas vigentes en INFORME_QA.md.</x:v>
      </x:c>
    </x:row>
    <x:row r="25" ht="100" hidden="0" customHeight="1">
      <x:c r="A25" s="9" t="s">
        <x:v>229</x:v>
      </x:c>
      <x:c r="B25" s="10" t="s">
        <x:v>213</x:v>
      </x:c>
      <x:c r="C25" s="10" t="s">
        <x:v>222</x:v>
      </x:c>
      <x:c r="D25" s="10" t="s">
        <x:v>230</x:v>
      </x:c>
      <x:c r="E25" s="10" t="s">
        <x:v>231</x:v>
      </x:c>
      <x:c r="F25" s="11" t="s">
        <x:v>85</x:v>
      </x:c>
      <x:c r="G25" s="11" t="s">
        <x:v>68</x:v>
      </x:c>
      <x:c r="H25" s="10" t="s">
        <x:v>225</x:v>
      </x:c>
      <x:c r="I25" s="10" t="s">
        <x:v>232</x:v>
      </x:c>
      <x:c r="J25" s="10" t="s">
        <x:v>233</x:v>
      </x:c>
      <x:c r="K25" s="10" t="s">
        <x:v>234</x:v>
      </x:c>
      <x:c r="L25" s="26" t="str">
        <x:v>-5, 1.5 y texto: 400; stock permanece 124.</x:v>
      </x:c>
      <x:c r="M25" s="26" t="str">
        <x:v>Local aislado; dj_qa_6bbb430a113746c6956d6c16d37b8cbc; MariaDB 10.4.32; Express/Vite/Chromium</x:v>
      </x:c>
      <x:c r="N25" s="26" t="str">
        <x:v>Node.js test/assert/fetch, Playwright Chromium y consultas SQL mysql2</x:v>
      </x:c>
      <x:c r="O25" s="27" t="str">
        <x:v>Ejecutado</x:v>
      </x:c>
      <x:c r="P25" s="27" t="str">
        <x:v>Aprobado</x:v>
      </x:c>
      <x:c r="Q25" s="27" t="str">
        <x:v>No aplica</x:v>
      </x:c>
      <x:c r="R25" s="27" t="str">
        <x:v>No aplica</x:v>
      </x:c>
      <x:c r="S25" s="27" t="str">
        <x:v>ejecucion.json: results/http/sql filtrados por CP-021; capturas CP-021*.png cuando existen</x:v>
      </x:c>
      <x:c r="T25" s="26" t="str">
        <x:v>Codex · ejecución automatizada QA</x:v>
      </x:c>
      <x:c r="U25" s="25" t="d">
        <x:v>2026-10-18T19:09:55.821Z</x:v>
      </x:c>
      <x:c r="V25" s="26" t="str">
        <x:v>Verificación ejecutada. Ver alcance, contrato y rutas vigentes en INFORME_QA.md.</x:v>
      </x:c>
    </x:row>
    <x:row r="26" ht="100" hidden="0" customHeight="1">
      <x:c r="A26" s="12" t="s">
        <x:v>235</x:v>
      </x:c>
      <x:c r="B26" s="13" t="s">
        <x:v>213</x:v>
      </x:c>
      <x:c r="C26" s="13" t="s">
        <x:v>236</x:v>
      </x:c>
      <x:c r="D26" s="13" t="s">
        <x:v>237</x:v>
      </x:c>
      <x:c r="E26" s="13" t="s">
        <x:v>238</x:v>
      </x:c>
      <x:c r="F26" s="14" t="s">
        <x:v>76</x:v>
      </x:c>
      <x:c r="G26" s="14" t="s">
        <x:v>68</x:v>
      </x:c>
      <x:c r="H26" s="13" t="s">
        <x:v>225</x:v>
      </x:c>
      <x:c r="I26" s="13" t="s">
        <x:v>239</x:v>
      </x:c>
      <x:c r="J26" s="13" t="s">
        <x:v>240</x:v>
      </x:c>
      <x:c r="K26" s="13" t="s">
        <x:v>241</x:v>
      </x:c>
      <x:c r="L26" s="29" t="str">
        <x:v>Salida vía pedido superior al stock rechazada; stock y líneas sin cambios.</x:v>
      </x:c>
      <x:c r="M26" s="29" t="str">
        <x:v>Local aislado; dj_qa_6bbb430a113746c6956d6c16d37b8cbc; MariaDB 10.4.32; Express/Vite/Chromium</x:v>
      </x:c>
      <x:c r="N26" s="29" t="str">
        <x:v>Node.js test/assert/fetch, Playwright Chromium y consultas SQL mysql2</x:v>
      </x:c>
      <x:c r="O26" s="30" t="str">
        <x:v>Ejecutado</x:v>
      </x:c>
      <x:c r="P26" s="30" t="str">
        <x:v>Aprobado</x:v>
      </x:c>
      <x:c r="Q26" s="30" t="str">
        <x:v>No aplica</x:v>
      </x:c>
      <x:c r="R26" s="30" t="str">
        <x:v>No aplica</x:v>
      </x:c>
      <x:c r="S26" s="30" t="str">
        <x:v>ejecucion.json: results/http/sql filtrados por CP-022; capturas CP-022*.png cuando existen</x:v>
      </x:c>
      <x:c r="T26" s="29" t="str">
        <x:v>Codex · ejecución automatizada QA</x:v>
      </x:c>
      <x:c r="U26" s="28" t="d">
        <x:v>2026-10-18T19:09:55.864Z</x:v>
      </x:c>
      <x:c r="V26" s="29" t="str">
        <x:v>Verificación ejecutada. Ver alcance, contrato y rutas vigentes en INFORME_QA.md.</x:v>
      </x:c>
    </x:row>
    <x:row r="27" ht="100" hidden="0" customHeight="1">
      <x:c r="A27" s="9" t="s">
        <x:v>242</x:v>
      </x:c>
      <x:c r="B27" s="10" t="s">
        <x:v>213</x:v>
      </x:c>
      <x:c r="C27" s="10" t="s">
        <x:v>243</x:v>
      </x:c>
      <x:c r="D27" s="10" t="s">
        <x:v>244</x:v>
      </x:c>
      <x:c r="E27" s="10" t="s">
        <x:v>245</x:v>
      </x:c>
      <x:c r="F27" s="11" t="s">
        <x:v>67</x:v>
      </x:c>
      <x:c r="G27" s="11" t="s">
        <x:v>86</x:v>
      </x:c>
      <x:c r="H27" s="10" t="s">
        <x:v>246</x:v>
      </x:c>
      <x:c r="I27" s="10" t="s">
        <x:v>247</x:v>
      </x:c>
      <x:c r="J27" s="10" t="s">
        <x:v>248</x:v>
      </x:c>
      <x:c r="K27" s="10" t="s">
        <x:v>249</x:v>
      </x:c>
      <x:c r="L27" s="26" t="str">
        <x:v>Stock 2 menor que umbral 5 genera alerta SQL/API visible en frontend.</x:v>
      </x:c>
      <x:c r="M27" s="26" t="str">
        <x:v>Local aislado; dj_qa_6bbb430a113746c6956d6c16d37b8cbc; MariaDB 10.4.32; Express/Vite/Chromium</x:v>
      </x:c>
      <x:c r="N27" s="26" t="str">
        <x:v>Node.js test/assert/fetch, Playwright Chromium y consultas SQL mysql2</x:v>
      </x:c>
      <x:c r="O27" s="27" t="str">
        <x:v>Ejecutado</x:v>
      </x:c>
      <x:c r="P27" s="27" t="str">
        <x:v>Aprobado</x:v>
      </x:c>
      <x:c r="Q27" s="27" t="str">
        <x:v>No aplica</x:v>
      </x:c>
      <x:c r="R27" s="27" t="str">
        <x:v>No aplica</x:v>
      </x:c>
      <x:c r="S27" s="27" t="str">
        <x:v>ejecucion.json: results/http/sql filtrados por CP-023; capturas CP-023*.png cuando existen</x:v>
      </x:c>
      <x:c r="T27" s="26" t="str">
        <x:v>Codex · ejecución automatizada QA</x:v>
      </x:c>
      <x:c r="U27" s="25" t="d">
        <x:v>2026-10-18T19:09:56.295Z</x:v>
      </x:c>
      <x:c r="V27" s="26" t="str">
        <x:v>Verificación ejecutada. Ver alcance, contrato y rutas vigentes en INFORME_QA.md.</x:v>
      </x:c>
    </x:row>
    <x:row r="28" ht="100" hidden="0" customHeight="1">
      <x:c r="A28" s="12" t="s">
        <x:v>250</x:v>
      </x:c>
      <x:c r="B28" s="13" t="s">
        <x:v>251</x:v>
      </x:c>
      <x:c r="C28" s="13" t="s">
        <x:v>252</x:v>
      </x:c>
      <x:c r="D28" s="13" t="s">
        <x:v>253</x:v>
      </x:c>
      <x:c r="E28" s="13" t="s">
        <x:v>254</x:v>
      </x:c>
      <x:c r="F28" s="14" t="s">
        <x:v>67</x:v>
      </x:c>
      <x:c r="G28" s="14" t="s">
        <x:v>68</x:v>
      </x:c>
      <x:c r="H28" s="13" t="s">
        <x:v>255</x:v>
      </x:c>
      <x:c r="I28" s="13" t="s">
        <x:v>256</x:v>
      </x:c>
      <x:c r="J28" s="13" t="s">
        <x:v>257</x:v>
      </x:c>
      <x:c r="K28" s="13" t="s">
        <x:v>258</x:v>
      </x:c>
      <x:c r="L28" s="29" t="str">
        <x:v>Listado de mesas disponible en ruta /mesas/estado/disponible y pantalla real.</x:v>
      </x:c>
      <x:c r="M28" s="29" t="str">
        <x:v>Local aislado; dj_qa_6bbb430a113746c6956d6c16d37b8cbc; MariaDB 10.4.32; Express/Vite/Chromium</x:v>
      </x:c>
      <x:c r="N28" s="29" t="str">
        <x:v>Node.js test/assert/fetch, Playwright Chromium y consultas SQL mysql2</x:v>
      </x:c>
      <x:c r="O28" s="30" t="str">
        <x:v>Ejecutado</x:v>
      </x:c>
      <x:c r="P28" s="30" t="str">
        <x:v>Aprobado</x:v>
      </x:c>
      <x:c r="Q28" s="30" t="str">
        <x:v>No aplica</x:v>
      </x:c>
      <x:c r="R28" s="30" t="str">
        <x:v>No aplica</x:v>
      </x:c>
      <x:c r="S28" s="30" t="str">
        <x:v>ejecucion.json: results/http/sql filtrados por CP-024; capturas CP-024*.png cuando existen</x:v>
      </x:c>
      <x:c r="T28" s="29" t="str">
        <x:v>Codex · ejecución automatizada QA</x:v>
      </x:c>
      <x:c r="U28" s="28" t="d">
        <x:v>2026-10-18T19:09:56.619Z</x:v>
      </x:c>
      <x:c r="V28" s="29" t="str">
        <x:v>Verificación ejecutada. Ver alcance, contrato y rutas vigentes en INFORME_QA.md.</x:v>
      </x:c>
    </x:row>
    <x:row r="29" ht="100" hidden="0" customHeight="1">
      <x:c r="A29" s="9" t="s">
        <x:v>259</x:v>
      </x:c>
      <x:c r="B29" s="10" t="s">
        <x:v>251</x:v>
      </x:c>
      <x:c r="C29" s="10" t="s">
        <x:v>260</x:v>
      </x:c>
      <x:c r="D29" s="10" t="s">
        <x:v>261</x:v>
      </x:c>
      <x:c r="E29" s="10" t="s">
        <x:v>262</x:v>
      </x:c>
      <x:c r="F29" s="11" t="s">
        <x:v>67</x:v>
      </x:c>
      <x:c r="G29" s="11" t="s">
        <x:v>68</x:v>
      </x:c>
      <x:c r="H29" s="10" t="s">
        <x:v>263</x:v>
      </x:c>
      <x:c r="I29" s="10" t="s">
        <x:v>264</x:v>
      </x:c>
      <x:c r="J29" s="10" t="s">
        <x:v>265</x:v>
      </x:c>
      <x:c r="K29" s="10" t="s">
        <x:v>266</x:v>
      </x:c>
      <x:c r="L29" s="26" t="str">
        <x:v>Mesa 15 ocupada por API y persistida en SQL; tarjeta muestra Ocupada tras recargar. Captura CP-025.</x:v>
      </x:c>
      <x:c r="M29" s="26" t="str">
        <x:v>Local aislado; dj_qa_6bbb430a113746c6956d6c16d37b8cbc; MariaDB 10.4.32; Express/Vite/Chromium</x:v>
      </x:c>
      <x:c r="N29" s="26" t="str">
        <x:v>Node.js test/assert/fetch, Playwright Chromium y consultas SQL mysql2</x:v>
      </x:c>
      <x:c r="O29" s="27" t="str">
        <x:v>Ejecutado</x:v>
      </x:c>
      <x:c r="P29" s="27" t="str">
        <x:v>Aprobado</x:v>
      </x:c>
      <x:c r="Q29" s="27" t="str">
        <x:v>No aplica</x:v>
      </x:c>
      <x:c r="R29" s="27" t="str">
        <x:v>No aplica</x:v>
      </x:c>
      <x:c r="S29" s="27" t="str">
        <x:v>ejecucion.json: results/http/sql filtrados por CP-025; capturas CP-025*.png cuando existen</x:v>
      </x:c>
      <x:c r="T29" s="26" t="str">
        <x:v>Codex · ejecución automatizada QA</x:v>
      </x:c>
      <x:c r="U29" s="25" t="d">
        <x:v>2026-10-18T19:12:16.259Z</x:v>
      </x:c>
      <x:c r="V29" s="26" t="str">
        <x:v>Verificación ejecutada. Ver alcance, contrato y rutas vigentes en INFORME_QA.md.</x:v>
      </x:c>
    </x:row>
    <x:row r="30" ht="100" hidden="0" customHeight="1">
      <x:c r="A30" s="12" t="s">
        <x:v>267</x:v>
      </x:c>
      <x:c r="B30" s="13" t="s">
        <x:v>251</x:v>
      </x:c>
      <x:c r="C30" s="13" t="s">
        <x:v>260</x:v>
      </x:c>
      <x:c r="D30" s="13" t="s">
        <x:v>268</x:v>
      </x:c>
      <x:c r="E30" s="13" t="s">
        <x:v>269</x:v>
      </x:c>
      <x:c r="F30" s="14" t="s">
        <x:v>76</x:v>
      </x:c>
      <x:c r="G30" s="14" t="s">
        <x:v>86</x:v>
      </x:c>
      <x:c r="H30" s="13" t="s">
        <x:v>270</x:v>
      </x:c>
      <x:c r="I30" s="13" t="s">
        <x:v>271</x:v>
      </x:c>
      <x:c r="J30" s="13" t="s">
        <x:v>272</x:v>
      </x:c>
      <x:c r="K30" s="13" t="s">
        <x:v>273</x:v>
      </x:c>
      <x:c r="L30" s="29" t="str">
        <x:v>Segundo pedido sobre mesa ocupada aceptado HTTP 201 sin acción diferenciada; contrato permite varios pedidos por visita, requiere acordar criterio.</x:v>
      </x:c>
      <x:c r="M30" s="29" t="str">
        <x:v>Local aislado; dj_qa_6bbb430a113746c6956d6c16d37b8cbc; MariaDB 10.4.32; Express/Vite/Chromium</x:v>
      </x:c>
      <x:c r="N30" s="29" t="str">
        <x:v>Node.js test/assert/fetch, Playwright Chromium y consultas SQL mysql2</x:v>
      </x:c>
      <x:c r="O30" s="30" t="str">
        <x:v>Ejecutado</x:v>
      </x:c>
      <x:c r="P30" s="30" t="str">
        <x:v>En seguimiento</x:v>
      </x:c>
      <x:c r="Q30" s="30" t="str">
        <x:v>Media</x:v>
      </x:c>
      <x:c r="R30" s="30" t="str">
        <x:v>INC-003</x:v>
      </x:c>
      <x:c r="S30" s="30" t="str">
        <x:v>ejecucion.json: results/http/sql filtrados por CP-026; capturas CP-026*.png cuando existen</x:v>
      </x:c>
      <x:c r="T30" s="29" t="str">
        <x:v>Codex · ejecución automatizada QA</x:v>
      </x:c>
      <x:c r="U30" s="28" t="d">
        <x:v>2026-10-18T19:09:56.877Z</x:v>
      </x:c>
      <x:c r="V30" s="29" t="str">
        <x:v>Criterio por acordar. Ver alcance, contrato y rutas vigentes en INFORME_QA.md.</x:v>
      </x:c>
    </x:row>
    <x:row r="31" ht="100" hidden="0" customHeight="1">
      <x:c r="A31" s="9" t="s">
        <x:v>274</x:v>
      </x:c>
      <x:c r="B31" s="10" t="s">
        <x:v>275</x:v>
      </x:c>
      <x:c r="C31" s="10" t="s">
        <x:v>276</x:v>
      </x:c>
      <x:c r="D31" s="10" t="s">
        <x:v>277</x:v>
      </x:c>
      <x:c r="E31" s="10" t="s">
        <x:v>278</x:v>
      </x:c>
      <x:c r="F31" s="11" t="s">
        <x:v>67</x:v>
      </x:c>
      <x:c r="G31" s="11" t="s">
        <x:v>68</x:v>
      </x:c>
      <x:c r="H31" s="10" t="s">
        <x:v>279</x:v>
      </x:c>
      <x:c r="I31" s="10" t="s">
        <x:v>280</x:v>
      </x:c>
      <x:c r="J31" s="10" t="s">
        <x:v>281</x:v>
      </x:c>
      <x:c r="K31" s="10" t="s">
        <x:v>282</x:v>
      </x:c>
      <x:c r="L31" s="26" t="str">
        <x:v>Pedido creado y 2 productos distintos agregados por API; asociación y suma SQL 17000 verificadas, productos visibles en detalle.</x:v>
      </x:c>
      <x:c r="M31" s="26" t="str">
        <x:v>Local aislado; dj_qa_6bbb430a113746c6956d6c16d37b8cbc; MariaDB 10.4.32; Express/Vite/Chromium</x:v>
      </x:c>
      <x:c r="N31" s="26" t="str">
        <x:v>Node.js test/assert/fetch, Playwright Chromium y consultas SQL mysql2</x:v>
      </x:c>
      <x:c r="O31" s="27" t="str">
        <x:v>Ejecutado</x:v>
      </x:c>
      <x:c r="P31" s="27" t="str">
        <x:v>Aprobado</x:v>
      </x:c>
      <x:c r="Q31" s="27" t="str">
        <x:v>No aplica</x:v>
      </x:c>
      <x:c r="R31" s="27" t="str">
        <x:v>No aplica</x:v>
      </x:c>
      <x:c r="S31" s="27" t="str">
        <x:v>ejecucion.json: results/http/sql filtrados por CP-027; capturas CP-027*.png cuando existen</x:v>
      </x:c>
      <x:c r="T31" s="26" t="str">
        <x:v>Codex · ejecución automatizada QA</x:v>
      </x:c>
      <x:c r="U31" s="25" t="d">
        <x:v>2026-10-18T19:09:57.204Z</x:v>
      </x:c>
      <x:c r="V31" s="26" t="str">
        <x:v>Verificación ejecutada. Ver alcance, contrato y rutas vigentes en INFORME_QA.md.</x:v>
      </x:c>
    </x:row>
    <x:row r="32" ht="100" hidden="0" customHeight="1">
      <x:c r="A32" s="12" t="s">
        <x:v>283</x:v>
      </x:c>
      <x:c r="B32" s="13" t="s">
        <x:v>275</x:v>
      </x:c>
      <x:c r="C32" s="13" t="s">
        <x:v>276</x:v>
      </x:c>
      <x:c r="D32" s="13" t="s">
        <x:v>284</x:v>
      </x:c>
      <x:c r="E32" s="13" t="s">
        <x:v>285</x:v>
      </x:c>
      <x:c r="F32" s="14" t="s">
        <x:v>85</x:v>
      </x:c>
      <x:c r="G32" s="14" t="s">
        <x:v>86</x:v>
      </x:c>
      <x:c r="H32" s="13" t="s">
        <x:v>286</x:v>
      </x:c>
      <x:c r="I32" s="13" t="s">
        <x:v>287</x:v>
      </x:c>
      <x:c r="J32" s="13" t="s">
        <x:v>288</x:v>
      </x:c>
      <x:c r="K32" s="13" t="s">
        <x:v>289</x:v>
      </x:c>
      <x:c r="L32" s="29" t="str">
        <x:v>Se crea cuenta sin productos: HTTP 201, líneas=0. Contrato actual permite apertura vacía; requiere decisión de aceptación.</x:v>
      </x:c>
      <x:c r="M32" s="29" t="str">
        <x:v>Local aislado; dj_qa_6bbb430a113746c6956d6c16d37b8cbc; MariaDB 10.4.32; Express/Vite/Chromium</x:v>
      </x:c>
      <x:c r="N32" s="29" t="str">
        <x:v>Node.js test/assert/fetch, Playwright Chromium y consultas SQL mysql2</x:v>
      </x:c>
      <x:c r="O32" s="30" t="str">
        <x:v>Ejecutado</x:v>
      </x:c>
      <x:c r="P32" s="30" t="str">
        <x:v>En seguimiento</x:v>
      </x:c>
      <x:c r="Q32" s="30" t="str">
        <x:v>Media</x:v>
      </x:c>
      <x:c r="R32" s="30" t="str">
        <x:v>INC-004</x:v>
      </x:c>
      <x:c r="S32" s="30" t="str">
        <x:v>ejecucion.json: results/http/sql filtrados por CP-028; capturas CP-028*.png cuando existen</x:v>
      </x:c>
      <x:c r="T32" s="29" t="str">
        <x:v>Codex · ejecución automatizada QA</x:v>
      </x:c>
      <x:c r="U32" s="28" t="d">
        <x:v>2026-10-18T19:09:57.225Z</x:v>
      </x:c>
      <x:c r="V32" s="29" t="str">
        <x:v>Criterio por acordar. Ver alcance, contrato y rutas vigentes en INFORME_QA.md.</x:v>
      </x:c>
    </x:row>
    <x:row r="33" ht="100" hidden="0" customHeight="1">
      <x:c r="A33" s="9" t="s">
        <x:v>290</x:v>
      </x:c>
      <x:c r="B33" s="10" t="s">
        <x:v>275</x:v>
      </x:c>
      <x:c r="C33" s="10" t="s">
        <x:v>291</x:v>
      </x:c>
      <x:c r="D33" s="10" t="s">
        <x:v>292</x:v>
      </x:c>
      <x:c r="E33" s="10" t="s">
        <x:v>293</x:v>
      </x:c>
      <x:c r="F33" s="11" t="s">
        <x:v>67</x:v>
      </x:c>
      <x:c r="G33" s="11" t="s">
        <x:v>86</x:v>
      </x:c>
      <x:c r="H33" s="10" t="s">
        <x:v>294</x:v>
      </x:c>
      <x:c r="I33" s="10" t="s">
        <x:v>295</x:v>
      </x:c>
      <x:c r="J33" s="10" t="s">
        <x:v>296</x:v>
      </x:c>
      <x:c r="K33" s="10" t="s">
        <x:v>297</x:v>
      </x:c>
      <x:c r="L33" s="26" t="str">
        <x:v>Listado y detalle 200, pedido inexistente 404 controlado.</x:v>
      </x:c>
      <x:c r="M33" s="26" t="str">
        <x:v>Local aislado; dj_qa_6bbb430a113746c6956d6c16d37b8cbc; MariaDB 10.4.32; Express/Vite/Chromium</x:v>
      </x:c>
      <x:c r="N33" s="26" t="str">
        <x:v>Node.js test/assert/fetch, Playwright Chromium y consultas SQL mysql2</x:v>
      </x:c>
      <x:c r="O33" s="27" t="str">
        <x:v>Ejecutado</x:v>
      </x:c>
      <x:c r="P33" s="27" t="str">
        <x:v>Aprobado</x:v>
      </x:c>
      <x:c r="Q33" s="27" t="str">
        <x:v>No aplica</x:v>
      </x:c>
      <x:c r="R33" s="27" t="str">
        <x:v>No aplica</x:v>
      </x:c>
      <x:c r="S33" s="27" t="str">
        <x:v>ejecucion.json: results/http/sql filtrados por CP-029; capturas CP-029*.png cuando existen</x:v>
      </x:c>
      <x:c r="T33" s="26" t="str">
        <x:v>Codex · ejecución automatizada QA</x:v>
      </x:c>
      <x:c r="U33" s="25" t="d">
        <x:v>2026-10-18T19:09:57.253Z</x:v>
      </x:c>
      <x:c r="V33" s="26" t="str">
        <x:v>Verificación ejecutada. Ver alcance, contrato y rutas vigentes en INFORME_QA.md.</x:v>
      </x:c>
    </x:row>
    <x:row r="34" ht="100" hidden="0" customHeight="1">
      <x:c r="A34" s="12" t="s">
        <x:v>298</x:v>
      </x:c>
      <x:c r="B34" s="13" t="s">
        <x:v>275</x:v>
      </x:c>
      <x:c r="C34" s="13" t="s">
        <x:v>299</x:v>
      </x:c>
      <x:c r="D34" s="13" t="s">
        <x:v>300</x:v>
      </x:c>
      <x:c r="E34" s="13" t="s">
        <x:v>301</x:v>
      </x:c>
      <x:c r="F34" s="14" t="s">
        <x:v>67</x:v>
      </x:c>
      <x:c r="G34" s="14" t="s">
        <x:v>68</x:v>
      </x:c>
      <x:c r="H34" s="13" t="s">
        <x:v>302</x:v>
      </x:c>
      <x:c r="I34" s="13" t="s">
        <x:v>303</x:v>
      </x:c>
      <x:c r="J34" s="13" t="s">
        <x:v>304</x:v>
      </x:c>
      <x:c r="K34" s="13" t="s">
        <x:v>305</x:v>
      </x:c>
      <x:c r="L34" s="29" t="str">
        <x:v>Estado operativo de línea enviado→preparando persistido; estado inválido 400. Pedido contenedor permanece abierto.</x:v>
      </x:c>
      <x:c r="M34" s="29" t="str">
        <x:v>Local aislado; dj_qa_6bbb430a113746c6956d6c16d37b8cbc; MariaDB 10.4.32; Express/Vite/Chromium</x:v>
      </x:c>
      <x:c r="N34" s="29" t="str">
        <x:v>Node.js test/assert/fetch, Playwright Chromium y consultas SQL mysql2</x:v>
      </x:c>
      <x:c r="O34" s="30" t="str">
        <x:v>Ejecutado</x:v>
      </x:c>
      <x:c r="P34" s="30" t="str">
        <x:v>Aprobado</x:v>
      </x:c>
      <x:c r="Q34" s="30" t="str">
        <x:v>No aplica</x:v>
      </x:c>
      <x:c r="R34" s="30" t="str">
        <x:v>No aplica</x:v>
      </x:c>
      <x:c r="S34" s="30" t="str">
        <x:v>ejecucion.json: results/http/sql filtrados por CP-030; capturas CP-030*.png cuando existen</x:v>
      </x:c>
      <x:c r="T34" s="29" t="str">
        <x:v>Codex · ejecución automatizada QA</x:v>
      </x:c>
      <x:c r="U34" s="28" t="d">
        <x:v>2026-10-18T19:09:57.299Z</x:v>
      </x:c>
      <x:c r="V34" s="29" t="str">
        <x:v>Verificación ejecutada. Ver alcance, contrato y rutas vigentes en INFORME_QA.md.</x:v>
      </x:c>
    </x:row>
    <x:row r="35" ht="100" hidden="0" customHeight="1">
      <x:c r="A35" s="9" t="s">
        <x:v>306</x:v>
      </x:c>
      <x:c r="B35" s="10" t="s">
        <x:v>307</x:v>
      </x:c>
      <x:c r="C35" s="10" t="s">
        <x:v>308</x:v>
      </x:c>
      <x:c r="D35" s="10" t="s">
        <x:v>309</x:v>
      </x:c>
      <x:c r="E35" s="10" t="s">
        <x:v>310</x:v>
      </x:c>
      <x:c r="F35" s="11" t="s">
        <x:v>67</x:v>
      </x:c>
      <x:c r="G35" s="11" t="s">
        <x:v>68</x:v>
      </x:c>
      <x:c r="H35" s="10" t="s">
        <x:v>311</x:v>
      </x:c>
      <x:c r="I35" s="10" t="s">
        <x:v>312</x:v>
      </x:c>
      <x:c r="J35" s="10" t="s">
        <x:v>313</x:v>
      </x:c>
      <x:c r="K35" s="10" t="s">
        <x:v>314</x:v>
      </x:c>
      <x:c r="L35" s="26" t="str">
        <x:v>Pago 17000 creado pendiente y verificado explícitamente; pago pagado y pedido cerrado en SQL.</x:v>
      </x:c>
      <x:c r="M35" s="26" t="str">
        <x:v>Local aislado; dj_qa_6bbb430a113746c6956d6c16d37b8cbc; MariaDB 10.4.32; Express/Vite/Chromium</x:v>
      </x:c>
      <x:c r="N35" s="26" t="str">
        <x:v>Node.js test/assert/fetch, Playwright Chromium y consultas SQL mysql2</x:v>
      </x:c>
      <x:c r="O35" s="27" t="str">
        <x:v>Ejecutado</x:v>
      </x:c>
      <x:c r="P35" s="27" t="str">
        <x:v>Aprobado</x:v>
      </x:c>
      <x:c r="Q35" s="27" t="str">
        <x:v>No aplica</x:v>
      </x:c>
      <x:c r="R35" s="27" t="str">
        <x:v>No aplica</x:v>
      </x:c>
      <x:c r="S35" s="27" t="str">
        <x:v>ejecucion.json: results/http/sql filtrados por CP-031; capturas CP-031*.png cuando existen</x:v>
      </x:c>
      <x:c r="T35" s="26" t="str">
        <x:v>Codex · ejecución automatizada QA</x:v>
      </x:c>
      <x:c r="U35" s="25" t="d">
        <x:v>2026-10-18T19:09:57.377Z</x:v>
      </x:c>
      <x:c r="V35" s="26" t="str">
        <x:v>Verificación ejecutada. Ver alcance, contrato y rutas vigentes en INFORME_QA.md.</x:v>
      </x:c>
    </x:row>
    <x:row r="36" ht="100" hidden="0" customHeight="1">
      <x:c r="A36" s="12" t="s">
        <x:v>315</x:v>
      </x:c>
      <x:c r="B36" s="13" t="s">
        <x:v>307</x:v>
      </x:c>
      <x:c r="C36" s="13" t="s">
        <x:v>308</x:v>
      </x:c>
      <x:c r="D36" s="13" t="s">
        <x:v>316</x:v>
      </x:c>
      <x:c r="E36" s="13" t="s">
        <x:v>317</x:v>
      </x:c>
      <x:c r="F36" s="14" t="s">
        <x:v>85</x:v>
      </x:c>
      <x:c r="G36" s="14" t="s">
        <x:v>68</x:v>
      </x:c>
      <x:c r="H36" s="13" t="s">
        <x:v>318</x:v>
      </x:c>
      <x:c r="I36" s="13" t="s">
        <x:v>319</x:v>
      </x:c>
      <x:c r="J36" s="13" t="s">
        <x:v>320</x:v>
      </x:c>
      <x:c r="K36" s="13" t="s">
        <x:v>321</x:v>
      </x:c>
      <x:c r="L36" s="29" t="str">
        <x:v>Importes 0, -1000 y texto: 400; sin pagos adicionales.</x:v>
      </x:c>
      <x:c r="M36" s="29" t="str">
        <x:v>Local aislado; dj_qa_6bbb430a113746c6956d6c16d37b8cbc; MariaDB 10.4.32; Express/Vite/Chromium</x:v>
      </x:c>
      <x:c r="N36" s="29" t="str">
        <x:v>Node.js test/assert/fetch, Playwright Chromium y consultas SQL mysql2</x:v>
      </x:c>
      <x:c r="O36" s="30" t="str">
        <x:v>Ejecutado</x:v>
      </x:c>
      <x:c r="P36" s="30" t="str">
        <x:v>Aprobado</x:v>
      </x:c>
      <x:c r="Q36" s="30" t="str">
        <x:v>No aplica</x:v>
      </x:c>
      <x:c r="R36" s="30" t="str">
        <x:v>No aplica</x:v>
      </x:c>
      <x:c r="S36" s="30" t="str">
        <x:v>ejecucion.json: results/http/sql filtrados por CP-032; capturas CP-032*.png cuando existen</x:v>
      </x:c>
      <x:c r="T36" s="29" t="str">
        <x:v>Codex · ejecución automatizada QA</x:v>
      </x:c>
      <x:c r="U36" s="28" t="d">
        <x:v>2026-10-18T19:09:57.418Z</x:v>
      </x:c>
      <x:c r="V36" s="29" t="str">
        <x:v>Verificación ejecutada. Ver alcance, contrato y rutas vigentes en INFORME_QA.md.</x:v>
      </x:c>
    </x:row>
    <x:row r="37" ht="100" hidden="0" customHeight="1">
      <x:c r="A37" s="9" t="s">
        <x:v>322</x:v>
      </x:c>
      <x:c r="B37" s="10" t="s">
        <x:v>307</x:v>
      </x:c>
      <x:c r="C37" s="10" t="s">
        <x:v>308</x:v>
      </x:c>
      <x:c r="D37" s="10" t="s">
        <x:v>323</x:v>
      </x:c>
      <x:c r="E37" s="10" t="s">
        <x:v>324</x:v>
      </x:c>
      <x:c r="F37" s="11" t="s">
        <x:v>76</x:v>
      </x:c>
      <x:c r="G37" s="11" t="s">
        <x:v>86</x:v>
      </x:c>
      <x:c r="H37" s="10" t="s">
        <x:v>325</x:v>
      </x:c>
      <x:c r="I37" s="10" t="s">
        <x:v>326</x:v>
      </x:c>
      <x:c r="J37" s="10" t="s">
        <x:v>327</x:v>
      </x:c>
      <x:c r="K37" s="10" t="s">
        <x:v>328</x:v>
      </x:c>
      <x:c r="L37" s="26" t="str">
        <x:v>Pedido inexistente: 404 y sin pago insertado.</x:v>
      </x:c>
      <x:c r="M37" s="26" t="str">
        <x:v>Local aislado; dj_qa_6bbb430a113746c6956d6c16d37b8cbc; MariaDB 10.4.32; Express/Vite/Chromium</x:v>
      </x:c>
      <x:c r="N37" s="26" t="str">
        <x:v>Node.js test/assert/fetch, Playwright Chromium y consultas SQL mysql2</x:v>
      </x:c>
      <x:c r="O37" s="27" t="str">
        <x:v>Ejecutado</x:v>
      </x:c>
      <x:c r="P37" s="27" t="str">
        <x:v>Aprobado</x:v>
      </x:c>
      <x:c r="Q37" s="27" t="str">
        <x:v>No aplica</x:v>
      </x:c>
      <x:c r="R37" s="27" t="str">
        <x:v>No aplica</x:v>
      </x:c>
      <x:c r="S37" s="27" t="str">
        <x:v>ejecucion.json: results/http/sql filtrados por CP-033; capturas CP-033*.png cuando existen</x:v>
      </x:c>
      <x:c r="T37" s="26" t="str">
        <x:v>Codex · ejecución automatizada QA</x:v>
      </x:c>
      <x:c r="U37" s="25" t="d">
        <x:v>2026-10-18T19:09:57.437Z</x:v>
      </x:c>
      <x:c r="V37" s="26" t="str">
        <x:v>Verificación ejecutada. Ver alcance, contrato y rutas vigentes en INFORME_QA.md.</x:v>
      </x:c>
    </x:row>
    <x:row r="38" ht="100" hidden="0" customHeight="1">
      <x:c r="A38" s="12" t="s">
        <x:v>329</x:v>
      </x:c>
      <x:c r="B38" s="13" t="s">
        <x:v>307</x:v>
      </x:c>
      <x:c r="C38" s="13" t="s">
        <x:v>330</x:v>
      </x:c>
      <x:c r="D38" s="13" t="s">
        <x:v>331</x:v>
      </x:c>
      <x:c r="E38" s="13" t="s">
        <x:v>332</x:v>
      </x:c>
      <x:c r="F38" s="14" t="s">
        <x:v>67</x:v>
      </x:c>
      <x:c r="G38" s="14" t="s">
        <x:v>86</x:v>
      </x:c>
      <x:c r="H38" s="13" t="s">
        <x:v>333</x:v>
      </x:c>
      <x:c r="I38" s="13" t="s">
        <x:v>334</x:v>
      </x:c>
      <x:c r="J38" s="13" t="s">
        <x:v>335</x:v>
      </x:c>
      <x:c r="K38" s="13" t="s">
        <x:v>336</x:v>
      </x:c>
      <x:c r="L38" s="29" t="str">
        <x:v>Listado JSON 200 contiene pago y vínculo al pedido verificados.</x:v>
      </x:c>
      <x:c r="M38" s="29" t="str">
        <x:v>Local aislado; dj_qa_6bbb430a113746c6956d6c16d37b8cbc; MariaDB 10.4.32; Express/Vite/Chromium</x:v>
      </x:c>
      <x:c r="N38" s="29" t="str">
        <x:v>Node.js test/assert/fetch, Playwright Chromium y consultas SQL mysql2</x:v>
      </x:c>
      <x:c r="O38" s="30" t="str">
        <x:v>Ejecutado</x:v>
      </x:c>
      <x:c r="P38" s="30" t="str">
        <x:v>Aprobado</x:v>
      </x:c>
      <x:c r="Q38" s="30" t="str">
        <x:v>No aplica</x:v>
      </x:c>
      <x:c r="R38" s="30" t="str">
        <x:v>No aplica</x:v>
      </x:c>
      <x:c r="S38" s="30" t="str">
        <x:v>ejecucion.json: results/http/sql filtrados por CP-034; capturas CP-034*.png cuando existen</x:v>
      </x:c>
      <x:c r="T38" s="29" t="str">
        <x:v>Codex · ejecución automatizada QA</x:v>
      </x:c>
      <x:c r="U38" s="28" t="d">
        <x:v>2026-10-18T19:09:57.452Z</x:v>
      </x:c>
      <x:c r="V38" s="29" t="str">
        <x:v>Verificación ejecutada. Ver alcance, contrato y rutas vigentes en INFORME_QA.md.</x:v>
      </x:c>
    </x:row>
    <x:row r="39" ht="100" hidden="0" customHeight="1">
      <x:c r="A39" s="9" t="s">
        <x:v>337</x:v>
      </x:c>
      <x:c r="B39" s="10" t="s">
        <x:v>338</x:v>
      </x:c>
      <x:c r="C39" s="10" t="s">
        <x:v>339</x:v>
      </x:c>
      <x:c r="D39" s="10" t="s">
        <x:v>340</x:v>
      </x:c>
      <x:c r="E39" s="10" t="s">
        <x:v>341</x:v>
      </x:c>
      <x:c r="F39" s="11" t="s">
        <x:v>67</x:v>
      </x:c>
      <x:c r="G39" s="11" t="s">
        <x:v>86</x:v>
      </x:c>
      <x:c r="H39" s="10" t="s">
        <x:v>342</x:v>
      </x:c>
      <x:c r="I39" s="10" t="s">
        <x:v>343</x:v>
      </x:c>
      <x:c r="J39" s="10" t="s">
        <x:v>344</x:v>
      </x:c>
      <x:c r="K39" s="10" t="s">
        <x:v>345</x:v>
      </x:c>
      <x:c r="L39" s="26" t="str">
        <x:v>Activos de juego: estado disponible en API y nombre visible en frontend.</x:v>
      </x:c>
      <x:c r="M39" s="26" t="str">
        <x:v>Local aislado; dj_qa_6bbb430a113746c6956d6c16d37b8cbc; MariaDB 10.4.32; Express/Vite/Chromium</x:v>
      </x:c>
      <x:c r="N39" s="26" t="str">
        <x:v>Node.js test/assert/fetch, Playwright Chromium y consultas SQL mysql2</x:v>
      </x:c>
      <x:c r="O39" s="27" t="str">
        <x:v>Ejecutado</x:v>
      </x:c>
      <x:c r="P39" s="27" t="str">
        <x:v>Aprobado</x:v>
      </x:c>
      <x:c r="Q39" s="27" t="str">
        <x:v>No aplica</x:v>
      </x:c>
      <x:c r="R39" s="27" t="str">
        <x:v>No aplica</x:v>
      </x:c>
      <x:c r="S39" s="27" t="str">
        <x:v>ejecucion.json: results/http/sql filtrados por CP-035; capturas CP-035*.png cuando existen</x:v>
      </x:c>
      <x:c r="T39" s="26" t="str">
        <x:v>Codex · ejecución automatizada QA</x:v>
      </x:c>
      <x:c r="U39" s="25" t="d">
        <x:v>2026-10-18T19:09:57.758Z</x:v>
      </x:c>
      <x:c r="V39" s="26" t="str">
        <x:v>Verificación ejecutada. Ver alcance, contrato y rutas vigentes en INFORME_QA.md.</x:v>
      </x:c>
    </x:row>
    <x:row r="40" ht="100" hidden="0" customHeight="1">
      <x:c r="A40" s="12" t="s">
        <x:v>346</x:v>
      </x:c>
      <x:c r="B40" s="13" t="s">
        <x:v>338</x:v>
      </x:c>
      <x:c r="C40" s="13" t="s">
        <x:v>347</x:v>
      </x:c>
      <x:c r="D40" s="13" t="s">
        <x:v>348</x:v>
      </x:c>
      <x:c r="E40" s="13" t="s">
        <x:v>349</x:v>
      </x:c>
      <x:c r="F40" s="14" t="s">
        <x:v>67</x:v>
      </x:c>
      <x:c r="G40" s="14" t="s">
        <x:v>68</x:v>
      </x:c>
      <x:c r="H40" s="13" t="s">
        <x:v>350</x:v>
      </x:c>
      <x:c r="I40" s="13" t="s">
        <x:v>351</x:v>
      </x:c>
      <x:c r="J40" s="13" t="s">
        <x:v>352</x:v>
      </x:c>
      <x:c r="K40" s="13" t="s">
        <x:v>353</x:v>
      </x:c>
      <x:c r="L40" s="29" t="str">
        <x:v>Sesión activa con fecha_inicio y pedido directo; activo ocupado, sin producto ficticio.</x:v>
      </x:c>
      <x:c r="M40" s="29" t="str">
        <x:v>Local aislado; dj_qa_6bbb430a113746c6956d6c16d37b8cbc; MariaDB 10.4.32; Express/Vite/Chromium</x:v>
      </x:c>
      <x:c r="N40" s="29" t="str">
        <x:v>Node.js test/assert/fetch, Playwright Chromium y consultas SQL mysql2</x:v>
      </x:c>
      <x:c r="O40" s="30" t="str">
        <x:v>Ejecutado</x:v>
      </x:c>
      <x:c r="P40" s="30" t="str">
        <x:v>Aprobado</x:v>
      </x:c>
      <x:c r="Q40" s="30" t="str">
        <x:v>No aplica</x:v>
      </x:c>
      <x:c r="R40" s="30" t="str">
        <x:v>No aplica</x:v>
      </x:c>
      <x:c r="S40" s="30" t="str">
        <x:v>ejecucion.json: results/http/sql filtrados por CP-036; capturas CP-036*.png cuando existen</x:v>
      </x:c>
      <x:c r="T40" s="29" t="str">
        <x:v>Codex · ejecución automatizada QA</x:v>
      </x:c>
      <x:c r="U40" s="28" t="d">
        <x:v>2026-10-18T19:09:57.835Z</x:v>
      </x:c>
      <x:c r="V40" s="29" t="str">
        <x:v>Verificación ejecutada. Ver alcance, contrato y rutas vigentes en INFORME_QA.md.</x:v>
      </x:c>
    </x:row>
    <x:row r="41" ht="100" hidden="0" customHeight="1">
      <x:c r="A41" s="9" t="s">
        <x:v>354</x:v>
      </x:c>
      <x:c r="B41" s="10" t="s">
        <x:v>338</x:v>
      </x:c>
      <x:c r="C41" s="10" t="s">
        <x:v>347</x:v>
      </x:c>
      <x:c r="D41" s="10" t="s">
        <x:v>355</x:v>
      </x:c>
      <x:c r="E41" s="10" t="s">
        <x:v>356</x:v>
      </x:c>
      <x:c r="F41" s="11" t="s">
        <x:v>76</x:v>
      </x:c>
      <x:c r="G41" s="11" t="s">
        <x:v>86</x:v>
      </x:c>
      <x:c r="H41" s="10" t="s">
        <x:v>357</x:v>
      </x:c>
      <x:c r="I41" s="10" t="s">
        <x:v>358</x:v>
      </x:c>
      <x:c r="J41" s="10" t="s">
        <x:v>359</x:v>
      </x:c>
      <x:c r="K41" s="10" t="s">
        <x:v>360</x:v>
      </x:c>
      <x:c r="L41" s="26" t="str">
        <x:v>Segundo inicio sobre activo ocupado: 409; solo una sesión activa.</x:v>
      </x:c>
      <x:c r="M41" s="26" t="str">
        <x:v>Local aislado; dj_qa_6bbb430a113746c6956d6c16d37b8cbc; MariaDB 10.4.32; Express/Vite/Chromium</x:v>
      </x:c>
      <x:c r="N41" s="26" t="str">
        <x:v>Node.js test/assert/fetch, Playwright Chromium y consultas SQL mysql2</x:v>
      </x:c>
      <x:c r="O41" s="27" t="str">
        <x:v>Ejecutado</x:v>
      </x:c>
      <x:c r="P41" s="27" t="str">
        <x:v>Aprobado</x:v>
      </x:c>
      <x:c r="Q41" s="27" t="str">
        <x:v>No aplica</x:v>
      </x:c>
      <x:c r="R41" s="27" t="str">
        <x:v>No aplica</x:v>
      </x:c>
      <x:c r="S41" s="27" t="str">
        <x:v>ejecucion.json: results/http/sql filtrados por CP-037; capturas CP-037*.png cuando existen</x:v>
      </x:c>
      <x:c r="T41" s="26" t="str">
        <x:v>Codex · ejecución automatizada QA</x:v>
      </x:c>
      <x:c r="U41" s="25" t="d">
        <x:v>2026-10-18T19:09:57.861Z</x:v>
      </x:c>
      <x:c r="V41" s="26" t="str">
        <x:v>Verificación ejecutada. Ver alcance, contrato y rutas vigentes en INFORME_QA.md.</x:v>
      </x:c>
    </x:row>
    <x:row r="42" ht="100" hidden="0" customHeight="1">
      <x:c r="A42" s="12" t="s">
        <x:v>361</x:v>
      </x:c>
      <x:c r="B42" s="13" t="s">
        <x:v>338</x:v>
      </x:c>
      <x:c r="C42" s="13" t="s">
        <x:v>362</x:v>
      </x:c>
      <x:c r="D42" s="13" t="s">
        <x:v>363</x:v>
      </x:c>
      <x:c r="E42" s="13" t="s">
        <x:v>364</x:v>
      </x:c>
      <x:c r="F42" s="14" t="s">
        <x:v>67</x:v>
      </x:c>
      <x:c r="G42" s="14" t="s">
        <x:v>86</x:v>
      </x:c>
      <x:c r="H42" s="13" t="s">
        <x:v>365</x:v>
      </x:c>
      <x:c r="I42" s="13" t="s">
        <x:v>366</x:v>
      </x:c>
      <x:c r="J42" s="13" t="s">
        <x:v>367</x:v>
      </x:c>
      <x:c r="K42" s="13" t="s">
        <x:v>368</x:v>
      </x:c>
      <x:c r="L42" s="29" t="str">
        <x:v>Sesión cerrada con fecha_fin; juego vuelve a disponible en SQL.</x:v>
      </x:c>
      <x:c r="M42" s="29" t="str">
        <x:v>Local aislado; dj_qa_6bbb430a113746c6956d6c16d37b8cbc; MariaDB 10.4.32; Express/Vite/Chromium</x:v>
      </x:c>
      <x:c r="N42" s="29" t="str">
        <x:v>Node.js test/assert/fetch, Playwright Chromium y consultas SQL mysql2</x:v>
      </x:c>
      <x:c r="O42" s="30" t="str">
        <x:v>Ejecutado</x:v>
      </x:c>
      <x:c r="P42" s="30" t="str">
        <x:v>Aprobado</x:v>
      </x:c>
      <x:c r="Q42" s="30" t="str">
        <x:v>No aplica</x:v>
      </x:c>
      <x:c r="R42" s="30" t="str">
        <x:v>No aplica</x:v>
      </x:c>
      <x:c r="S42" s="30" t="str">
        <x:v>ejecucion.json: results/http/sql filtrados por CP-038; capturas CP-038*.png cuando existen</x:v>
      </x:c>
      <x:c r="T42" s="29" t="str">
        <x:v>Codex · ejecución automatizada QA</x:v>
      </x:c>
      <x:c r="U42" s="28" t="d">
        <x:v>2026-10-18T19:09:57.883Z</x:v>
      </x:c>
      <x:c r="V42" s="29" t="str">
        <x:v>Verificación ejecutada. Ver alcance, contrato y rutas vigentes en INFORME_QA.md.</x:v>
      </x:c>
    </x:row>
    <x:row r="43" ht="100" hidden="0" customHeight="1">
      <x:c r="A43" s="9" t="s">
        <x:v>369</x:v>
      </x:c>
      <x:c r="B43" s="10" t="s">
        <x:v>370</x:v>
      </x:c>
      <x:c r="C43" s="10" t="s">
        <x:v>371</x:v>
      </x:c>
      <x:c r="D43" s="10" t="s">
        <x:v>372</x:v>
      </x:c>
      <x:c r="E43" s="10" t="s">
        <x:v>373</x:v>
      </x:c>
      <x:c r="F43" s="11" t="s">
        <x:v>67</x:v>
      </x:c>
      <x:c r="G43" s="11" t="s">
        <x:v>86</x:v>
      </x:c>
      <x:c r="H43" s="10" t="s">
        <x:v>185</x:v>
      </x:c>
      <x:c r="I43" s="10" t="s">
        <x:v>374</x:v>
      </x:c>
      <x:c r="J43" s="10" t="s">
        <x:v>375</x:v>
      </x:c>
      <x:c r="K43" s="10" t="s">
        <x:v>376</x:v>
      </x:c>
      <x:c r="L43" s="26" t="str">
        <x:v>Cliente creado 201; teléfono persistido y nombre visible en listado.</x:v>
      </x:c>
      <x:c r="M43" s="26" t="str">
        <x:v>Local aislado; dj_qa_6bbb430a113746c6956d6c16d37b8cbc; MariaDB 10.4.32; Express/Vite/Chromium</x:v>
      </x:c>
      <x:c r="N43" s="26" t="str">
        <x:v>Node.js test/assert/fetch, Playwright Chromium y consultas SQL mysql2</x:v>
      </x:c>
      <x:c r="O43" s="27" t="str">
        <x:v>Ejecutado</x:v>
      </x:c>
      <x:c r="P43" s="27" t="str">
        <x:v>Aprobado</x:v>
      </x:c>
      <x:c r="Q43" s="27" t="str">
        <x:v>No aplica</x:v>
      </x:c>
      <x:c r="R43" s="27" t="str">
        <x:v>No aplica</x:v>
      </x:c>
      <x:c r="S43" s="27" t="str">
        <x:v>ejecucion.json: results/http/sql filtrados por CP-039; capturas CP-039*.png cuando existen</x:v>
      </x:c>
      <x:c r="T43" s="26" t="str">
        <x:v>Codex · ejecución automatizada QA</x:v>
      </x:c>
      <x:c r="U43" s="25" t="d">
        <x:v>2026-10-18T19:09:58.141Z</x:v>
      </x:c>
      <x:c r="V43" s="26" t="str">
        <x:v>Verificación ejecutada. Ver alcance, contrato y rutas vigentes en INFORME_QA.md.</x:v>
      </x:c>
    </x:row>
    <x:row r="44" ht="100" hidden="0" customHeight="1">
      <x:c r="A44" s="12" t="s">
        <x:v>377</x:v>
      </x:c>
      <x:c r="B44" s="13" t="s">
        <x:v>370</x:v>
      </x:c>
      <x:c r="C44" s="13" t="s">
        <x:v>371</x:v>
      </x:c>
      <x:c r="D44" s="13" t="s">
        <x:v>378</x:v>
      </x:c>
      <x:c r="E44" s="13" t="s">
        <x:v>379</x:v>
      </x:c>
      <x:c r="F44" s="14" t="s">
        <x:v>85</x:v>
      </x:c>
      <x:c r="G44" s="14" t="s">
        <x:v>86</x:v>
      </x:c>
      <x:c r="H44" s="13" t="s">
        <x:v>185</x:v>
      </x:c>
      <x:c r="I44" s="13" t="s">
        <x:v>380</x:v>
      </x:c>
      <x:c r="J44" s="13" t="s">
        <x:v>381</x:v>
      </x:c>
      <x:c r="K44" s="13" t="s">
        <x:v>382</x:v>
      </x:c>
      <x:c r="L44" s="29" t="str">
        <x:v>Teléfono alfabético aceptado con HTTP 201 y persistido en clientes.
201 !== 400
</x:v>
      </x:c>
      <x:c r="M44" s="29" t="str">
        <x:v>Local aislado; dj_qa_6bbb430a113746c6956d6c16d37b8cbc; MariaDB 10.4.32; Express/Vite/Chromium</x:v>
      </x:c>
      <x:c r="N44" s="29" t="str">
        <x:v>Node.js test/assert/fetch, Playwright Chromium y consultas SQL mysql2</x:v>
      </x:c>
      <x:c r="O44" s="30" t="str">
        <x:v>Ejecutado</x:v>
      </x:c>
      <x:c r="P44" s="30" t="str">
        <x:v>Rechazado</x:v>
      </x:c>
      <x:c r="Q44" s="30" t="str">
        <x:v>Media</x:v>
      </x:c>
      <x:c r="R44" s="30" t="str">
        <x:v>INC-005</x:v>
      </x:c>
      <x:c r="S44" s="30" t="str">
        <x:v>ejecucion.json: results/http/sql filtrados por CP-040; capturas CP-040*.png cuando existen</x:v>
      </x:c>
      <x:c r="T44" s="29" t="str">
        <x:v>Codex · ejecución automatizada QA</x:v>
      </x:c>
      <x:c r="U44" s="28" t="d">
        <x:v>2026-10-18T19:09:58.166Z</x:v>
      </x:c>
      <x:c r="V44" s="29" t="str">
        <x:v>Defecto confirmado. Ver alcance, contrato y rutas vigentes en INFORME_QA.md.</x:v>
      </x:c>
    </x:row>
    <x:row r="45" ht="100" hidden="0" customHeight="1">
      <x:c r="A45" s="9" t="s">
        <x:v>383</x:v>
      </x:c>
      <x:c r="B45" s="10" t="s">
        <x:v>370</x:v>
      </x:c>
      <x:c r="C45" s="10" t="s">
        <x:v>384</x:v>
      </x:c>
      <x:c r="D45" s="10" t="s">
        <x:v>385</x:v>
      </x:c>
      <x:c r="E45" s="10" t="s">
        <x:v>386</x:v>
      </x:c>
      <x:c r="F45" s="11" t="s">
        <x:v>67</x:v>
      </x:c>
      <x:c r="G45" s="11" t="s">
        <x:v>168</x:v>
      </x:c>
      <x:c r="H45" s="10" t="s">
        <x:v>387</x:v>
      </x:c>
      <x:c r="I45" s="10" t="s">
        <x:v>388</x:v>
      </x:c>
      <x:c r="J45" s="10" t="s">
        <x:v>389</x:v>
      </x:c>
      <x:c r="K45" s="10" t="s">
        <x:v>390</x:v>
      </x:c>
      <x:c r="L45" s="26" t="str">
        <x:v>Teléfono actualizado, nombre preservado, API/SQL/listado disponibles.</x:v>
      </x:c>
      <x:c r="M45" s="26" t="str">
        <x:v>Local aislado; dj_qa_6bbb430a113746c6956d6c16d37b8cbc; MariaDB 10.4.32; Express/Vite/Chromium</x:v>
      </x:c>
      <x:c r="N45" s="26" t="str">
        <x:v>Node.js test/assert/fetch, Playwright Chromium y consultas SQL mysql2</x:v>
      </x:c>
      <x:c r="O45" s="27" t="str">
        <x:v>Ejecutado</x:v>
      </x:c>
      <x:c r="P45" s="27" t="str">
        <x:v>Aprobado</x:v>
      </x:c>
      <x:c r="Q45" s="27" t="str">
        <x:v>No aplica</x:v>
      </x:c>
      <x:c r="R45" s="27" t="str">
        <x:v>No aplica</x:v>
      </x:c>
      <x:c r="S45" s="27" t="str">
        <x:v>ejecucion.json: results/http/sql filtrados por CP-041; capturas CP-041*.png cuando existen</x:v>
      </x:c>
      <x:c r="T45" s="26" t="str">
        <x:v>Codex · ejecución automatizada QA</x:v>
      </x:c>
      <x:c r="U45" s="25" t="d">
        <x:v>2026-10-18T19:09:58.436Z</x:v>
      </x:c>
      <x:c r="V45" s="26" t="str">
        <x:v>Verificación ejecutada. Ver alcance, contrato y rutas vigentes en INFORME_QA.md.</x:v>
      </x:c>
    </x:row>
    <x:row r="46" ht="100" hidden="0" customHeight="1">
      <x:c r="A46" s="12" t="s">
        <x:v>391</x:v>
      </x:c>
      <x:c r="B46" s="13" t="s">
        <x:v>392</x:v>
      </x:c>
      <x:c r="C46" s="13" t="s">
        <x:v>393</x:v>
      </x:c>
      <x:c r="D46" s="13" t="s">
        <x:v>394</x:v>
      </x:c>
      <x:c r="E46" s="13" t="s">
        <x:v>395</x:v>
      </x:c>
      <x:c r="F46" s="14" t="s">
        <x:v>396</x:v>
      </x:c>
      <x:c r="G46" s="14" t="s">
        <x:v>68</x:v>
      </x:c>
      <x:c r="H46" s="13" t="s">
        <x:v>397</x:v>
      </x:c>
      <x:c r="I46" s="13" t="s">
        <x:v>398</x:v>
      </x:c>
      <x:c r="J46" s="13" t="s">
        <x:v>399</x:v>
      </x:c>
      <x:c r="K46" s="13" t="s">
        <x:v>400</x:v>
      </x:c>
      <x:c r="L46" s="29" t="str">
        <x:v>Respuesta 200 con comprobante=null; el pago no genera venta/comprobante automáticamente. Requiere emisión explícita y decisión del criterio de aceptación.</x:v>
      </x:c>
      <x:c r="M46" s="29" t="str">
        <x:v>Local aislado; dj_qa_6bbb430a113746c6956d6c16d37b8cbc; MariaDB 10.4.32; Express/Vite/Chromium</x:v>
      </x:c>
      <x:c r="N46" s="29" t="str">
        <x:v>Node.js test/assert/fetch, Playwright Chromium y consultas SQL mysql2</x:v>
      </x:c>
      <x:c r="O46" s="30" t="str">
        <x:v>Ejecutado</x:v>
      </x:c>
      <x:c r="P46" s="30" t="str">
        <x:v>En seguimiento</x:v>
      </x:c>
      <x:c r="Q46" s="30" t="str">
        <x:v>Media</x:v>
      </x:c>
      <x:c r="R46" s="30" t="str">
        <x:v>INC-006</x:v>
      </x:c>
      <x:c r="S46" s="30" t="str">
        <x:v>ejecucion.json: results/http/sql filtrados por CP-042; capturas CP-042*.png cuando existen</x:v>
      </x:c>
      <x:c r="T46" s="29" t="str">
        <x:v>Codex · ejecución automatizada QA</x:v>
      </x:c>
      <x:c r="U46" s="28" t="d">
        <x:v>2026-10-18T19:09:58.445Z</x:v>
      </x:c>
      <x:c r="V46" s="29" t="str">
        <x:v>Criterio por acordar. Ver alcance, contrato y rutas vigentes en INFORME_QA.md.</x:v>
      </x:c>
    </x:row>
    <x:row r="47" ht="100" hidden="0" customHeight="1">
      <x:c r="A47" s="9" t="s">
        <x:v>401</x:v>
      </x:c>
      <x:c r="B47" s="10" t="s">
        <x:v>392</x:v>
      </x:c>
      <x:c r="C47" s="10" t="s">
        <x:v>402</x:v>
      </x:c>
      <x:c r="D47" s="10" t="s">
        <x:v>403</x:v>
      </x:c>
      <x:c r="E47" s="10" t="s">
        <x:v>404</x:v>
      </x:c>
      <x:c r="F47" s="11" t="s">
        <x:v>67</x:v>
      </x:c>
      <x:c r="G47" s="11" t="s">
        <x:v>86</x:v>
      </x:c>
      <x:c r="H47" s="10" t="s">
        <x:v>405</x:v>
      </x:c>
      <x:c r="I47" s="10" t="s">
        <x:v>406</x:v>
      </x:c>
      <x:c r="J47" s="10" t="s">
        <x:v>407</x:v>
      </x:c>
      <x:c r="K47" s="10" t="s">
        <x:v>408</x:v>
      </x:c>
      <x:c r="L47" s="26" t="str">
        <x:v>El sistema registra ingresos mediante pagos verificados y comprobantes, no expone GET /ventas. Falta acordar equivalencia entre venta y pago, y ejecutar dos rangos sobre el contrato aceptado.</x:v>
      </x:c>
      <x:c r="M47" s="26" t="str">
        <x:v>Local aislado; dj_qa_6bbb430a113746c6956d6c16d37b8cbc; MariaDB 10.4.32; Express/Vite/Chromium</x:v>
      </x:c>
      <x:c r="N47" s="26" t="str">
        <x:v>Node.js test/assert/fetch, Playwright Chromium y consultas SQL mysql2</x:v>
      </x:c>
      <x:c r="O47" s="27" t="str">
        <x:v>Bloqueado</x:v>
      </x:c>
      <x:c r="P47" s="27" t="str">
        <x:v>Pendiente</x:v>
      </x:c>
      <x:c r="Q47" s="27" t="str">
        <x:v>No aplica</x:v>
      </x:c>
      <x:c r="R47" s="27" t="str">
        <x:v>No aplica</x:v>
      </x:c>
      <x:c r="S47" s="27" t="str">
        <x:v>ejecucion.json: results/http/sql filtrados por CP-043; capturas CP-043*.png cuando existen</x:v>
      </x:c>
      <x:c r="T47" s="26" t="str">
        <x:v>Codex · ejecución automatizada QA</x:v>
      </x:c>
      <x:c r="U47" s="25" t="d">
        <x:v>2026-10-18T19:09:58.447Z</x:v>
      </x:c>
      <x:c r="V47" s="26" t="str">
        <x:v>Verificación ejecutada. Requisito para completar: El sistema registra ingresos mediante pagos verificados y comprobantes, no expone GET /ventas. Falta acordar equivalencia entre venta y pago, y ejecutar dos rangos sobre el contrato aceptado.</x:v>
      </x:c>
    </x:row>
    <x:row r="48" ht="100" hidden="0" customHeight="1">
      <x:c r="A48" s="12" t="s">
        <x:v>409</x:v>
      </x:c>
      <x:c r="B48" s="13" t="s">
        <x:v>392</x:v>
      </x:c>
      <x:c r="C48" s="13" t="s">
        <x:v>410</x:v>
      </x:c>
      <x:c r="D48" s="13" t="s">
        <x:v>411</x:v>
      </x:c>
      <x:c r="E48" s="13" t="s">
        <x:v>412</x:v>
      </x:c>
      <x:c r="F48" s="14" t="s">
        <x:v>67</x:v>
      </x:c>
      <x:c r="G48" s="14" t="s">
        <x:v>68</x:v>
      </x:c>
      <x:c r="H48" s="13" t="s">
        <x:v>413</x:v>
      </x:c>
      <x:c r="I48" s="13" t="s">
        <x:v>414</x:v>
      </x:c>
      <x:c r="J48" s="13" t="s">
        <x:v>415</x:v>
      </x:c>
      <x:c r="K48" s="13" t="s">
        <x:v>416</x:v>
      </x:c>
      <x:c r="L48" s="29" t="str">
        <x:v>Cierre creado; total 17000.00 coincide con suma SQL de pagos verificados elegibles. Diferencia efectivo cero.</x:v>
      </x:c>
      <x:c r="M48" s="29" t="str">
        <x:v>Local aislado; dj_qa_6bbb430a113746c6956d6c16d37b8cbc; MariaDB 10.4.32; Express/Vite/Chromium</x:v>
      </x:c>
      <x:c r="N48" s="29" t="str">
        <x:v>Node.js test/assert/fetch, Playwright Chromium y consultas SQL mysql2</x:v>
      </x:c>
      <x:c r="O48" s="30" t="str">
        <x:v>Ejecutado</x:v>
      </x:c>
      <x:c r="P48" s="30" t="str">
        <x:v>Aprobado</x:v>
      </x:c>
      <x:c r="Q48" s="30" t="str">
        <x:v>No aplica</x:v>
      </x:c>
      <x:c r="R48" s="30" t="str">
        <x:v>No aplica</x:v>
      </x:c>
      <x:c r="S48" s="30" t="str">
        <x:v>ejecucion.json: results/http/sql filtrados por CP-044; capturas CP-044*.png cuando existen</x:v>
      </x:c>
      <x:c r="T48" s="29" t="str">
        <x:v>Codex · ejecución automatizada QA</x:v>
      </x:c>
      <x:c r="U48" s="28" t="d">
        <x:v>2026-10-18T19:09:58.489Z</x:v>
      </x:c>
      <x:c r="V48" s="29" t="str">
        <x:v>Verificación ejecutada. Ver alcance, contrato y rutas vigentes en INFORME_QA.md.</x:v>
      </x:c>
    </x:row>
    <x:row r="49" ht="100" hidden="0" customHeight="1">
      <x:c r="A49" s="9" t="s">
        <x:v>417</x:v>
      </x:c>
      <x:c r="B49" s="10" t="s">
        <x:v>392</x:v>
      </x:c>
      <x:c r="C49" s="10" t="s">
        <x:v>418</x:v>
      </x:c>
      <x:c r="D49" s="10" t="s">
        <x:v>419</x:v>
      </x:c>
      <x:c r="E49" s="10" t="s">
        <x:v>420</x:v>
      </x:c>
      <x:c r="F49" s="11" t="s">
        <x:v>67</x:v>
      </x:c>
      <x:c r="G49" s="11" t="s">
        <x:v>168</x:v>
      </x:c>
      <x:c r="H49" s="10" t="s">
        <x:v>421</x:v>
      </x:c>
      <x:c r="I49" s="10" t="s">
        <x:v>422</x:v>
      </x:c>
      <x:c r="J49" s="10" t="s">
        <x:v>423</x:v>
      </x:c>
      <x:c r="K49" s="10" t="s">
        <x:v>424</x:v>
      </x:c>
      <x:c r="L49" s="26" t="str">
        <x:v>Reporte de ingresos verificados para periodo personalizado del día: total visible conciliado con suma SQL 17000.00. No es una predicción futura.</x:v>
      </x:c>
      <x:c r="M49" s="26" t="str">
        <x:v>Local aislado; dj_qa_6bbb430a113746c6956d6c16d37b8cbc; MariaDB 10.4.32; Express/Vite/Chromium</x:v>
      </x:c>
      <x:c r="N49" s="26" t="str">
        <x:v>Node.js test/assert/fetch, Playwright Chromium y consultas SQL mysql2</x:v>
      </x:c>
      <x:c r="O49" s="27" t="str">
        <x:v>Ejecutado</x:v>
      </x:c>
      <x:c r="P49" s="27" t="str">
        <x:v>Aprobado</x:v>
      </x:c>
      <x:c r="Q49" s="27" t="str">
        <x:v>No aplica</x:v>
      </x:c>
      <x:c r="R49" s="27" t="str">
        <x:v>No aplica</x:v>
      </x:c>
      <x:c r="S49" s="27" t="str">
        <x:v>ejecucion.json: results/http/sql filtrados por CP-045; capturas CP-045*.png cuando existen</x:v>
      </x:c>
      <x:c r="T49" s="26" t="str">
        <x:v>Codex · ejecución automatizada QA</x:v>
      </x:c>
      <x:c r="U49" s="25" t="d">
        <x:v>2026-10-18T19:09:58.961Z</x:v>
      </x:c>
      <x:c r="V49" s="26" t="str">
        <x:v>Verificación ejecutada. Ver alcance, contrato y rutas vigentes en INFORME_QA.md.</x:v>
      </x:c>
    </x:row>
    <x:row r="50" ht="100" hidden="0" customHeight="1">
      <x:c r="A50" s="12" t="s">
        <x:v>425</x:v>
      </x:c>
      <x:c r="B50" s="13" t="s">
        <x:v>426</x:v>
      </x:c>
      <x:c r="C50" s="13" t="s">
        <x:v>427</x:v>
      </x:c>
      <x:c r="D50" s="13" t="s">
        <x:v>428</x:v>
      </x:c>
      <x:c r="E50" s="13" t="s">
        <x:v>429</x:v>
      </x:c>
      <x:c r="F50" s="14" t="s">
        <x:v>67</x:v>
      </x:c>
      <x:c r="G50" s="14" t="s">
        <x:v>68</x:v>
      </x:c>
      <x:c r="H50" s="13" t="s">
        <x:v>430</x:v>
      </x:c>
      <x:c r="I50" s="13" t="s">
        <x:v>431</x:v>
      </x:c>
      <x:c r="J50" s="13" t="s">
        <x:v>432</x:v>
      </x:c>
      <x:c r="K50" s="13" t="s">
        <x:v>433</x:v>
      </x:c>
      <x:c r="L50" s="29" t="str">
        <x:v>8000 / 3 = cuotas 2666.67, 2666.67 y 2666.66; suma exacta 8000 con persistencia real.</x:v>
      </x:c>
      <x:c r="M50" s="29" t="str">
        <x:v>Local aislado; dj_qa_6bbb430a113746c6956d6c16d37b8cbc; MariaDB 10.4.32; Express/Vite/Chromium</x:v>
      </x:c>
      <x:c r="N50" s="29" t="str">
        <x:v>Node.js test/assert/fetch, Playwright Chromium y consultas SQL mysql2</x:v>
      </x:c>
      <x:c r="O50" s="30" t="str">
        <x:v>Ejecutado</x:v>
      </x:c>
      <x:c r="P50" s="30" t="str">
        <x:v>Aprobado</x:v>
      </x:c>
      <x:c r="Q50" s="30" t="str">
        <x:v>No aplica</x:v>
      </x:c>
      <x:c r="R50" s="30" t="str">
        <x:v>No aplica</x:v>
      </x:c>
      <x:c r="S50" s="30" t="str">
        <x:v>ejecucion.json: results/http/sql filtrados por CP-046; capturas CP-046*.png cuando existen</x:v>
      </x:c>
      <x:c r="T50" s="29" t="str">
        <x:v>Codex · ejecución automatizada QA</x:v>
      </x:c>
      <x:c r="U50" s="28" t="d">
        <x:v>2026-10-18T19:09:59.098Z</x:v>
      </x:c>
      <x:c r="V50" s="29" t="str">
        <x:v>Verificación ejecutada. Ver alcance, contrato y rutas vigentes en INFORME_QA.md.</x:v>
      </x:c>
    </x:row>
    <x:row r="51" ht="100" hidden="0" customHeight="1">
      <x:c r="A51" s="9" t="s">
        <x:v>434</x:v>
      </x:c>
      <x:c r="B51" s="10" t="s">
        <x:v>426</x:v>
      </x:c>
      <x:c r="C51" s="10" t="s">
        <x:v>427</x:v>
      </x:c>
      <x:c r="D51" s="10" t="s">
        <x:v>435</x:v>
      </x:c>
      <x:c r="E51" s="10" t="s">
        <x:v>436</x:v>
      </x:c>
      <x:c r="F51" s="11" t="s">
        <x:v>85</x:v>
      </x:c>
      <x:c r="G51" s="11" t="s">
        <x:v>86</x:v>
      </x:c>
      <x:c r="H51" s="10" t="s">
        <x:v>430</x:v>
      </x:c>
      <x:c r="I51" s="10" t="s">
        <x:v>437</x:v>
      </x:c>
      <x:c r="J51" s="10" t="s">
        <x:v>438</x:v>
      </x:c>
      <x:c r="K51" s="10" t="s">
        <x:v>439</x:v>
      </x:c>
      <x:c r="L51" s="26" t="str">
        <x:v>Lista vacía, 0, -2 y texto rechazados 400 sin cuotas (API recibe lista, no contador).</x:v>
      </x:c>
      <x:c r="M51" s="26" t="str">
        <x:v>Local aislado; dj_qa_6bbb430a113746c6956d6c16d37b8cbc; MariaDB 10.4.32; Express/Vite/Chromium</x:v>
      </x:c>
      <x:c r="N51" s="26" t="str">
        <x:v>Node.js test/assert/fetch, Playwright Chromium y consultas SQL mysql2</x:v>
      </x:c>
      <x:c r="O51" s="27" t="str">
        <x:v>Ejecutado</x:v>
      </x:c>
      <x:c r="P51" s="27" t="str">
        <x:v>Aprobado</x:v>
      </x:c>
      <x:c r="Q51" s="27" t="str">
        <x:v>No aplica</x:v>
      </x:c>
      <x:c r="R51" s="27" t="str">
        <x:v>No aplica</x:v>
      </x:c>
      <x:c r="S51" s="27" t="str">
        <x:v>ejecucion.json: results/http/sql filtrados por CP-047; capturas CP-047*.png cuando existen</x:v>
      </x:c>
      <x:c r="T51" s="26" t="str">
        <x:v>Codex · ejecución automatizada QA</x:v>
      </x:c>
      <x:c r="U51" s="25" t="d">
        <x:v>2026-10-18T19:09:59.236Z</x:v>
      </x:c>
      <x:c r="V51" s="26" t="str">
        <x:v>Verificación ejecutada. Ver alcance, contrato y rutas vigentes en INFORME_QA.md.</x:v>
      </x:c>
    </x:row>
    <x:row r="52" ht="100" hidden="0" customHeight="1">
      <x:c r="A52" s="12" t="s">
        <x:v>440</x:v>
      </x:c>
      <x:c r="B52" s="13" t="s">
        <x:v>426</x:v>
      </x:c>
      <x:c r="C52" s="13" t="s">
        <x:v>441</x:v>
      </x:c>
      <x:c r="D52" s="13" t="s">
        <x:v>442</x:v>
      </x:c>
      <x:c r="E52" s="13" t="s">
        <x:v>443</x:v>
      </x:c>
      <x:c r="F52" s="14" t="s">
        <x:v>67</x:v>
      </x:c>
      <x:c r="G52" s="14" t="s">
        <x:v>68</x:v>
      </x:c>
      <x:c r="H52" s="13" t="s">
        <x:v>444</x:v>
      </x:c>
      <x:c r="I52" s="13" t="s">
        <x:v>445</x:v>
      </x:c>
      <x:c r="J52" s="13" t="s">
        <x:v>446</x:v>
      </x:c>
      <x:c r="K52" s="13" t="s">
        <x:v>447</x:v>
      </x:c>
      <x:c r="L52" s="29" t="str">
        <x:v>Primera cuota pagada y verificada; resumen informa participante pagado y saldo restante exacto.</x:v>
      </x:c>
      <x:c r="M52" s="29" t="str">
        <x:v>Local aislado; dj_qa_6bbb430a113746c6956d6c16d37b8cbc; MariaDB 10.4.32; Express/Vite/Chromium</x:v>
      </x:c>
      <x:c r="N52" s="29" t="str">
        <x:v>Node.js test/assert/fetch, Playwright Chromium y consultas SQL mysql2</x:v>
      </x:c>
      <x:c r="O52" s="30" t="str">
        <x:v>Ejecutado</x:v>
      </x:c>
      <x:c r="P52" s="30" t="str">
        <x:v>Aprobado</x:v>
      </x:c>
      <x:c r="Q52" s="30" t="str">
        <x:v>No aplica</x:v>
      </x:c>
      <x:c r="R52" s="30" t="str">
        <x:v>No aplica</x:v>
      </x:c>
      <x:c r="S52" s="30" t="str">
        <x:v>ejecucion.json: results/http/sql filtrados por CP-048; capturas CP-048*.png cuando existen</x:v>
      </x:c>
      <x:c r="T52" s="29" t="str">
        <x:v>Codex · ejecución automatizada QA</x:v>
      </x:c>
      <x:c r="U52" s="28" t="d">
        <x:v>2026-10-18T19:09:59.315Z</x:v>
      </x:c>
      <x:c r="V52" s="29" t="str">
        <x:v>Verificación ejecutada. Ver alcance, contrato y rutas vigentes en INFORME_QA.md.</x:v>
      </x:c>
    </x:row>
    <x:row r="53" ht="100" hidden="0" customHeight="1">
      <x:c r="A53" s="9" t="s">
        <x:v>448</x:v>
      </x:c>
      <x:c r="B53" s="10" t="s">
        <x:v>426</x:v>
      </x:c>
      <x:c r="C53" s="10" t="s">
        <x:v>449</x:v>
      </x:c>
      <x:c r="D53" s="10" t="s">
        <x:v>450</x:v>
      </x:c>
      <x:c r="E53" s="10" t="s">
        <x:v>451</x:v>
      </x:c>
      <x:c r="F53" s="11" t="s">
        <x:v>67</x:v>
      </x:c>
      <x:c r="G53" s="11" t="s">
        <x:v>68</x:v>
      </x:c>
      <x:c r="H53" s="10" t="s">
        <x:v>452</x:v>
      </x:c>
      <x:c r="I53" s="10" t="s">
        <x:v>453</x:v>
      </x:c>
      <x:c r="J53" s="10" t="s">
        <x:v>454</x:v>
      </x:c>
      <x:c r="K53" s="10" t="s">
        <x:v>455</x:v>
      </x:c>
      <x:c r="L53" s="26" t="str">
        <x:v>Cierre con saldo rechazado 409; tras verificar todas las cuotas, división completada en SQL.</x:v>
      </x:c>
      <x:c r="M53" s="26" t="str">
        <x:v>Local aislado; dj_qa_6bbb430a113746c6956d6c16d37b8cbc; MariaDB 10.4.32; Express/Vite/Chromium</x:v>
      </x:c>
      <x:c r="N53" s="26" t="str">
        <x:v>Node.js test/assert/fetch, Playwright Chromium y consultas SQL mysql2</x:v>
      </x:c>
      <x:c r="O53" s="27" t="str">
        <x:v>Ejecutado</x:v>
      </x:c>
      <x:c r="P53" s="27" t="str">
        <x:v>Aprobado</x:v>
      </x:c>
      <x:c r="Q53" s="27" t="str">
        <x:v>No aplica</x:v>
      </x:c>
      <x:c r="R53" s="27" t="str">
        <x:v>No aplica</x:v>
      </x:c>
      <x:c r="S53" s="27" t="str">
        <x:v>ejecucion.json: results/http/sql filtrados por CP-049; capturas CP-049*.png cuando existen</x:v>
      </x:c>
      <x:c r="T53" s="26" t="str">
        <x:v>Codex · ejecución automatizada QA</x:v>
      </x:c>
      <x:c r="U53" s="25" t="d">
        <x:v>2026-10-18T19:09:59.459Z</x:v>
      </x:c>
      <x:c r="V53" s="26" t="str">
        <x:v>Verificación ejecutada. Ver alcance, contrato y rutas vigentes en INFORME_QA.md.</x:v>
      </x:c>
    </x:row>
    <x:row r="54" ht="100" hidden="0" customHeight="1">
      <x:c r="A54" s="12" t="s">
        <x:v>456</x:v>
      </x:c>
      <x:c r="B54" s="13" t="s">
        <x:v>457</x:v>
      </x:c>
      <x:c r="C54" s="13" t="s">
        <x:v>458</x:v>
      </x:c>
      <x:c r="D54" s="13" t="s">
        <x:v>459</x:v>
      </x:c>
      <x:c r="E54" s="13" t="s">
        <x:v>460</x:v>
      </x:c>
      <x:c r="F54" s="14" t="s">
        <x:v>461</x:v>
      </x:c>
      <x:c r="G54" s="14" t="s">
        <x:v>86</x:v>
      </x:c>
      <x:c r="H54" s="13" t="s">
        <x:v>462</x:v>
      </x:c>
      <x:c r="I54" s="13" t="s">
        <x:v>463</x:v>
      </x:c>
      <x:c r="J54" s="13" t="s">
        <x:v>464</x:v>
      </x:c>
      <x:c r="K54" s="13" t="s">
        <x:v>465</x:v>
      </x:c>
      <x:c r="L54" s="29" t="str">
        <x:v>Tarjeta real aparece en tablero JSON y en pantalla Kanban. Ver agrupación en captura.</x:v>
      </x:c>
      <x:c r="M54" s="29" t="str">
        <x:v>Local aislado; dj_qa_6bbb430a113746c6956d6c16d37b8cbc; MariaDB 10.4.32; Express/Vite/Chromium</x:v>
      </x:c>
      <x:c r="N54" s="29" t="str">
        <x:v>Node.js test/assert/fetch, Playwright Chromium y consultas SQL mysql2</x:v>
      </x:c>
      <x:c r="O54" s="30" t="str">
        <x:v>Ejecutado</x:v>
      </x:c>
      <x:c r="P54" s="30" t="str">
        <x:v>Aprobado</x:v>
      </x:c>
      <x:c r="Q54" s="30" t="str">
        <x:v>No aplica</x:v>
      </x:c>
      <x:c r="R54" s="30" t="str">
        <x:v>No aplica</x:v>
      </x:c>
      <x:c r="S54" s="30" t="str">
        <x:v>ejecucion.json: results/http/sql filtrados por CP-050; capturas CP-050*.png cuando existen</x:v>
      </x:c>
      <x:c r="T54" s="29" t="str">
        <x:v>Codex · ejecución automatizada QA</x:v>
      </x:c>
      <x:c r="U54" s="28" t="d">
        <x:v>2026-10-18T19:09:59.887Z</x:v>
      </x:c>
      <x:c r="V54" s="29" t="str">
        <x:v>Verificación ejecutada. Ver alcance, contrato y rutas vigentes en INFORME_QA.md.</x:v>
      </x:c>
    </x:row>
    <x:row r="55" ht="100" hidden="0" customHeight="1">
      <x:c r="A55" s="9" t="s">
        <x:v>466</x:v>
      </x:c>
      <x:c r="B55" s="10" t="s">
        <x:v>457</x:v>
      </x:c>
      <x:c r="C55" s="10" t="s">
        <x:v>467</x:v>
      </x:c>
      <x:c r="D55" s="10" t="s">
        <x:v>468</x:v>
      </x:c>
      <x:c r="E55" s="10" t="s">
        <x:v>469</x:v>
      </x:c>
      <x:c r="F55" s="11" t="s">
        <x:v>396</x:v>
      </x:c>
      <x:c r="G55" s="11" t="s">
        <x:v>86</x:v>
      </x:c>
      <x:c r="H55" s="10" t="s">
        <x:v>470</x:v>
      </x:c>
      <x:c r="I55" s="10" t="s">
        <x:v>471</x:v>
      </x:c>
      <x:c r="J55" s="10" t="s">
        <x:v>472</x:v>
      </x:c>
      <x:c r="K55" s="10" t="s">
        <x:v>473</x:v>
      </x:c>
      <x:c r="L55" s="26" t="str">
        <x:v>Botón Aceptar pedido ejecutado en frontend; SQL preparando y tarjeta en columna Preparando tras recarga.</x:v>
      </x:c>
      <x:c r="M55" s="26" t="str">
        <x:v>Local aislado; dj_qa_6bbb430a113746c6956d6c16d37b8cbc; MariaDB 10.4.32; Express/Vite/Chromium</x:v>
      </x:c>
      <x:c r="N55" s="26" t="str">
        <x:v>Node.js test/assert/fetch, Playwright Chromium y consultas SQL mysql2</x:v>
      </x:c>
      <x:c r="O55" s="27" t="str">
        <x:v>Ejecutado</x:v>
      </x:c>
      <x:c r="P55" s="27" t="str">
        <x:v>Aprobado</x:v>
      </x:c>
      <x:c r="Q55" s="27" t="str">
        <x:v>No aplica</x:v>
      </x:c>
      <x:c r="R55" s="27" t="str">
        <x:v>No aplica</x:v>
      </x:c>
      <x:c r="S55" s="27" t="str">
        <x:v>ejecucion.json: results/http/sql filtrados por CP-051; capturas CP-051*.png cuando existen</x:v>
      </x:c>
      <x:c r="T55" s="26" t="str">
        <x:v>Codex · ejecución automatizada QA</x:v>
      </x:c>
      <x:c r="U55" s="25" t="d">
        <x:v>2026-10-18T19:10:00.494Z</x:v>
      </x:c>
      <x:c r="V55" s="26" t="str">
        <x:v>Verificación ejecutada. Ver alcance, contrato y rutas vigentes en INFORME_QA.md.</x:v>
      </x:c>
    </x:row>
    <x:row r="56" ht="100" hidden="0" customHeight="1">
      <x:c r="A56" s="12" t="s">
        <x:v>474</x:v>
      </x:c>
      <x:c r="B56" s="13" t="s">
        <x:v>475</x:v>
      </x:c>
      <x:c r="C56" s="13" t="s">
        <x:v>476</x:v>
      </x:c>
      <x:c r="D56" s="13" t="s">
        <x:v>477</x:v>
      </x:c>
      <x:c r="E56" s="13" t="s">
        <x:v>478</x:v>
      </x:c>
      <x:c r="F56" s="14" t="s">
        <x:v>396</x:v>
      </x:c>
      <x:c r="G56" s="14" t="s">
        <x:v>68</x:v>
      </x:c>
      <x:c r="H56" s="13" t="s">
        <x:v>479</x:v>
      </x:c>
      <x:c r="I56" s="13" t="s">
        <x:v>480</x:v>
      </x:c>
      <x:c r="J56" s="13" t="s">
        <x:v>481</x:v>
      </x:c>
      <x:c r="K56" s="13" t="s">
        <x:v>482</x:v>
      </x:c>
      <x:c r="L56" s="29" t="str">
        <x:v>Conexión API–MariaDB activa verificada. No se detuvo el servicio compartido; falta instancia exclusiva para comprobar caída y recuperación sin afectar otras aplicaciones.</x:v>
      </x:c>
      <x:c r="M56" s="29" t="str">
        <x:v>Local aislado; dj_qa_6bbb430a113746c6956d6c16d37b8cbc; MariaDB 10.4.32; Express/Vite/Chromium</x:v>
      </x:c>
      <x:c r="N56" s="29" t="str">
        <x:v>Node.js test/assert/fetch, Playwright Chromium y consultas SQL mysql2</x:v>
      </x:c>
      <x:c r="O56" s="30" t="str">
        <x:v>Bloqueado</x:v>
      </x:c>
      <x:c r="P56" s="30" t="str">
        <x:v>Pendiente</x:v>
      </x:c>
      <x:c r="Q56" s="30" t="str">
        <x:v>No aplica</x:v>
      </x:c>
      <x:c r="R56" s="30" t="str">
        <x:v>No aplica</x:v>
      </x:c>
      <x:c r="S56" s="30" t="str">
        <x:v>ejecucion.json: results/http/sql filtrados por CP-052; capturas CP-052*.png cuando existen</x:v>
      </x:c>
      <x:c r="T56" s="29" t="str">
        <x:v>Codex · ejecución automatizada QA</x:v>
      </x:c>
      <x:c r="U56" s="28" t="d">
        <x:v>2026-10-18T19:10:00.511Z</x:v>
      </x:c>
      <x:c r="V56" s="29" t="str">
        <x:v>Verificación ejecutada. Requisito para completar: Conexión API–MariaDB activa verificada. No se detuvo el servicio compartido; falta instancia exclusiva para comprobar caída y recuperación sin afectar otras aplicaciones.</x:v>
      </x:c>
    </x:row>
    <x:row r="57" ht="100" hidden="0" customHeight="1">
      <x:c r="A57" s="9" t="s">
        <x:v>483</x:v>
      </x:c>
      <x:c r="B57" s="10" t="s">
        <x:v>475</x:v>
      </x:c>
      <x:c r="C57" s="10" t="s">
        <x:v>484</x:v>
      </x:c>
      <x:c r="D57" s="10" t="s">
        <x:v>485</x:v>
      </x:c>
      <x:c r="E57" s="10" t="s">
        <x:v>486</x:v>
      </x:c>
      <x:c r="F57" s="11" t="s">
        <x:v>76</x:v>
      </x:c>
      <x:c r="G57" s="11" t="s">
        <x:v>86</x:v>
      </x:c>
      <x:c r="H57" s="10" t="s">
        <x:v>487</x:v>
      </x:c>
      <x:c r="I57" s="10" t="s">
        <x:v>488</x:v>
      </x:c>
      <x:c r="J57" s="10" t="s">
        <x:v>489</x:v>
      </x:c>
      <x:c r="K57" s="10" t="s">
        <x:v>490</x:v>
      </x:c>
      <x:c r="L57" s="26" t="str">
        <x:v>JSON incompleto produce 400 con error controlado; GET posterior 200 confirma servidor activo.</x:v>
      </x:c>
      <x:c r="M57" s="26" t="str">
        <x:v>Local aislado; dj_qa_6bbb430a113746c6956d6c16d37b8cbc; MariaDB 10.4.32; Express/Vite/Chromium</x:v>
      </x:c>
      <x:c r="N57" s="26" t="str">
        <x:v>Node.js test/assert/fetch, Playwright Chromium y consultas SQL mysql2</x:v>
      </x:c>
      <x:c r="O57" s="27" t="str">
        <x:v>Ejecutado</x:v>
      </x:c>
      <x:c r="P57" s="27" t="str">
        <x:v>Aprobado</x:v>
      </x:c>
      <x:c r="Q57" s="27" t="str">
        <x:v>No aplica</x:v>
      </x:c>
      <x:c r="R57" s="27" t="str">
        <x:v>No aplica</x:v>
      </x:c>
      <x:c r="S57" s="27" t="str">
        <x:v>ejecucion.json: results/http/sql filtrados por CP-053; capturas CP-053*.png cuando existen</x:v>
      </x:c>
      <x:c r="T57" s="26" t="str">
        <x:v>Codex · ejecución automatizada QA</x:v>
      </x:c>
      <x:c r="U57" s="25" t="d">
        <x:v>2026-10-18T19:10:00.529Z</x:v>
      </x:c>
      <x:c r="V57" s="26" t="str">
        <x:v>Verificación ejecutada. Ver alcance, contrato y rutas vigentes en INFORME_QA.md.</x:v>
      </x:c>
    </x:row>
    <x:row r="58" ht="245" hidden="0" customHeight="1">
      <x:c r="A58" s="12" t="s">
        <x:v>491</x:v>
      </x:c>
      <x:c r="B58" s="13" t="s">
        <x:v>475</x:v>
      </x:c>
      <x:c r="C58" s="13" t="s">
        <x:v>492</x:v>
      </x:c>
      <x:c r="D58" s="13" t="s">
        <x:v>493</x:v>
      </x:c>
      <x:c r="E58" s="13" t="s">
        <x:v>494</x:v>
      </x:c>
      <x:c r="F58" s="14" t="s">
        <x:v>461</x:v>
      </x:c>
      <x:c r="G58" s="14" t="s">
        <x:v>86</x:v>
      </x:c>
      <x:c r="H58" s="13" t="s">
        <x:v>495</x:v>
      </x:c>
      <x:c r="I58" s="13" t="s">
        <x:v>496</x:v>
      </x:c>
      <x:c r="J58" s="13" t="s">
        <x:v>497</x:v>
      </x:c>
      <x:c r="K58" s="13" t="s">
        <x:v>498</x:v>
      </x:c>
      <x:c r="L58" s="29" t="str">
        <x:v>Desbordamiento horizontal detectado: [{"name":"movil","route":"/dashboard","width":390,"scroll":548},{"name":"movil","route":"/operacion/mesas","width":390,"scroll":548},{"name":"movil","route":"/operacion/pedidos","width":390,"scroll":548},{"name":"movil","route":"/inventario","width":390,"scroll":548},{"name":"movil","route":"/juegos","width":390,"scroll":548},{"name":"movil","route":"/caja","width":390,"scroll":548},{"name":"movil","route":"/clientes","width":390,"scroll":548},{"name":"movil","route":"/reportes","width":390,"scroll":548},{"name":"movil","route":"/administracion","width":390,"scroll":548}]
9 !== 0
</x:v>
      </x:c>
      <x:c r="M58" s="29" t="str">
        <x:v>Local aislado; dj_qa_6bbb430a113746c6956d6c16d37b8cbc; MariaDB 10.4.32; Express/Vite/Chromium</x:v>
      </x:c>
      <x:c r="N58" s="29" t="str">
        <x:v>Node.js test/assert/fetch, Playwright Chromium y consultas SQL mysql2</x:v>
      </x:c>
      <x:c r="O58" s="30" t="str">
        <x:v>Ejecutado</x:v>
      </x:c>
      <x:c r="P58" s="30" t="str">
        <x:v>Rechazado</x:v>
      </x:c>
      <x:c r="Q58" s="30" t="str">
        <x:v>Media</x:v>
      </x:c>
      <x:c r="R58" s="30" t="str">
        <x:v>INC-007</x:v>
      </x:c>
      <x:c r="S58" s="30" t="str">
        <x:v>ejecucion.json: results/http/sql filtrados por CP-054; capturas CP-054*.png cuando existen</x:v>
      </x:c>
      <x:c r="T58" s="29" t="str">
        <x:v>Codex · ejecución automatizada QA</x:v>
      </x:c>
      <x:c r="U58" s="28" t="d">
        <x:v>2026-10-18T19:10:13.358Z</x:v>
      </x:c>
      <x:c r="V58" s="29" t="str">
        <x:v>Defecto confirmado. Ver alcance, contrato y rutas vigentes en INFORME_QA.md.</x:v>
      </x:c>
    </x:row>
    <x:row r="59" ht="100" hidden="0" customHeight="1">
      <x:c r="A59" s="9" t="s">
        <x:v>499</x:v>
      </x:c>
      <x:c r="B59" s="10" t="s">
        <x:v>475</x:v>
      </x:c>
      <x:c r="C59" s="10" t="s">
        <x:v>500</x:v>
      </x:c>
      <x:c r="D59" s="10" t="s">
        <x:v>501</x:v>
      </x:c>
      <x:c r="E59" s="10" t="s">
        <x:v>502</x:v>
      </x:c>
      <x:c r="F59" s="11" t="s">
        <x:v>396</x:v>
      </x:c>
      <x:c r="G59" s="11" t="s">
        <x:v>68</x:v>
      </x:c>
      <x:c r="H59" s="10" t="s">
        <x:v>503</x:v>
      </x:c>
      <x:c r="I59" s="10" t="s">
        <x:v>504</x:v>
      </x:c>
      <x:c r="J59" s="10" t="s">
        <x:v>505</x:v>
      </x:c>
      <x:c r="K59" s="10" t="s">
        <x:v>506</x:v>
      </x:c>
      <x:c r="L59" s="26" t="str">
        <x:v>Flujo completo en Chromium: crear pedido→seleccionar producto→registrar pago 8000→verificar pago→consultar pedido/pago. API y SQL confirman pedido cerrado y pago verificado.</x:v>
      </x:c>
      <x:c r="M59" s="26" t="str">
        <x:v>Local aislado; dj_qa_6bbb430a113746c6956d6c16d37b8cbc; MariaDB 10.4.32; Express/Vite/Chromium</x:v>
      </x:c>
      <x:c r="N59" s="26" t="str">
        <x:v>Node.js test/assert/fetch, Playwright Chromium y consultas SQL mysql2</x:v>
      </x:c>
      <x:c r="O59" s="27" t="str">
        <x:v>Ejecutado</x:v>
      </x:c>
      <x:c r="P59" s="27" t="str">
        <x:v>Aprobado</x:v>
      </x:c>
      <x:c r="Q59" s="27" t="str">
        <x:v>No aplica</x:v>
      </x:c>
      <x:c r="R59" s="27" t="str">
        <x:v>No aplica</x:v>
      </x:c>
      <x:c r="S59" s="27" t="str">
        <x:v>ejecucion.json: results/http/sql filtrados por CP-055; capturas CP-055*.png cuando existen</x:v>
      </x:c>
      <x:c r="T59" s="26" t="str">
        <x:v>Codex · ejecución automatizada QA</x:v>
      </x:c>
      <x:c r="U59" s="25" t="d">
        <x:v>2026-10-18T19:11:52.932Z</x:v>
      </x:c>
      <x:c r="V59" s="26" t="str">
        <x:v>Verificación ejecutada. Ver alcance, contrato y rutas vigentes en INFORME_QA.md.</x:v>
      </x:c>
    </x:row>
    <x:row r="61" ht="15" hidden="0">
      <x:c r="A61" s="6" t="s">
        <x:v>507</x:v>
      </x:c>
    </x:row>
  </x:sheetData>
  <autoFilter xmlns="http://schemas.openxmlformats.org/spreadsheetml/2006/main" ref="A4:V59"/>
  <x:mergeCells>
    <x:mergeCell ref="A1:V1"/>
    <x:mergeCell ref="A2:V2"/>
    <x:mergeCell ref="A3:V3"/>
  </x:mergeCells>
  <x:dataValidations count="4">
    <x:dataValidation type="list" errorStyle="stop" operator="between" allowBlank="1" showDropDown="0" showInputMessage="0" showErrorMessage="0" sqref="O5:O119">
      <x:formula1>"No ejecutado,En ejecución,Ejecutado,Bloqueado,No aplica"</x:formula1>
      <x:formula2>0</x:formula2>
    </x:dataValidation>
    <x:dataValidation type="list" errorStyle="stop" operator="between" allowBlank="1" showDropDown="0" showInputMessage="0" showErrorMessage="0" sqref="P5:P119">
      <x:formula1>"Pendiente,Aprobado,En seguimiento,Rechazado"</x:formula1>
      <x:formula2>0</x:formula2>
    </x:dataValidation>
    <x:dataValidation type="list" errorStyle="stop" operator="between" allowBlank="1" showDropDown="0" showInputMessage="0" showErrorMessage="0" sqref="Q5:Q119">
      <x:formula1>"No aplica,Alta,Media,Baja"</x:formula1>
      <x:formula2>0</x:formula2>
    </x:dataValidation>
    <x:dataValidation type="list" errorStyle="stop" operator="between" allowBlank="1" showDropDown="0" showInputMessage="0" showErrorMessage="0" sqref="G5:G119">
      <x:formula1>"Alta,Media,Baja"</x:formula1>
      <x:formula2>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8" hidden="0" customWidth="1"/>
    <x:col min="2" max="2" width="28" hidden="0" customWidth="1"/>
    <x:col min="3" max="3" width="34" hidden="0" customWidth="1"/>
    <x:col min="4" max="4" width="20" hidden="0" customWidth="1"/>
    <x:col min="5" max="5" width="60" hidden="0" customWidth="1"/>
    <x:col min="6" max="6" width="22" hidden="0" customWidth="1"/>
  </x:cols>
  <x:sheetData>
    <x:row r="1" ht="27.75" hidden="0" customHeight="1">
      <x:c r="A1" s="1" t="s">
        <x:v>508</x:v>
      </x:c>
      <x:c r="B1" s="1"/>
      <x:c r="C1" s="1"/>
      <x:c r="D1" s="1"/>
      <x:c r="E1" s="1"/>
      <x:c r="F1" s="1"/>
    </x:row>
    <x:row r="2" ht="19.5" hidden="0" customHeight="1">
      <x:c r="A2" s="2" t="s">
        <x:v>1</x:v>
      </x:c>
      <x:c r="B2" s="2"/>
      <x:c r="C2" s="2"/>
      <x:c r="D2" s="2"/>
      <x:c r="E2" s="2"/>
      <x:c r="F2" s="2"/>
    </x:row>
    <x:row r="4" ht="67" hidden="0" customHeight="1">
      <x:c r="A4" s="34" t="s">
        <x:v>509</x:v>
      </x:c>
      <x:c r="B4" s="34" t="s">
        <x:v>510</x:v>
      </x:c>
      <x:c r="C4" s="34" t="s">
        <x:v>511</x:v>
      </x:c>
      <x:c r="D4" s="34" t="s">
        <x:v>512</x:v>
      </x:c>
      <x:c r="E4" s="34" t="s">
        <x:v>513</x:v>
      </x:c>
      <x:c r="F4" s="34" t="s">
        <x:v>514</x:v>
      </x:c>
    </x:row>
    <x:row r="5" ht="67" hidden="0" customHeight="1">
      <x:c r="A5" s="35" t="s">
        <x:v>515</x:v>
      </x:c>
      <x:c r="B5" s="26" t="s">
        <x:v>516</x:v>
      </x:c>
      <x:c r="C5" s="26" t="s">
        <x:v>517</x:v>
      </x:c>
      <x:c r="D5" s="26" t="str">
        <x:v>19.3.0</x:v>
      </x:c>
      <x:c r="E5" s="26" t="s">
        <x:v>518</x:v>
      </x:c>
      <x:c r="F5" s="26" t="str">
        <x:v>Verificado en ambiente.json y ejecucion.json</x:v>
      </x:c>
    </x:row>
    <x:row r="6" ht="67" hidden="0" customHeight="1">
      <x:c r="A6" s="36" t="s">
        <x:v>519</x:v>
      </x:c>
      <x:c r="B6" s="29" t="s">
        <x:v>520</x:v>
      </x:c>
      <x:c r="C6" s="29" t="s">
        <x:v>521</x:v>
      </x:c>
      <x:c r="D6" s="29" t="str">
        <x:v>v24.18.0 / Express 5.2.1</x:v>
      </x:c>
      <x:c r="E6" s="29" t="s">
        <x:v>522</x:v>
      </x:c>
      <x:c r="F6" s="29" t="str">
        <x:v>Verificado en ambiente.json y ejecucion.json</x:v>
      </x:c>
    </x:row>
    <x:row r="7" ht="67" hidden="0" customHeight="1">
      <x:c r="A7" s="35" t="s">
        <x:v>519</x:v>
      </x:c>
      <x:c r="B7" s="26" t="s">
        <x:v>523</x:v>
      </x:c>
      <x:c r="C7" s="26" t="str">
        <x:v>Rutas vigentes en INFORME_QA.md. División: /api/sesiones-division; mesas: /estado/:estado; juegos: /activos; inventario: /productos.</x:v>
      </x:c>
      <x:c r="D7" s="26" t="s">
        <x:v>524</x:v>
      </x:c>
      <x:c r="E7" s="26" t="s">
        <x:v>525</x:v>
      </x:c>
      <x:c r="F7" s="26" t="str">
        <x:v>Verificado en ambiente.json y ejecucion.json</x:v>
      </x:c>
    </x:row>
    <x:row r="8" ht="67" hidden="0" customHeight="1">
      <x:c r="A8" s="36" t="s">
        <x:v>526</x:v>
      </x:c>
      <x:c r="B8" s="29" t="s">
        <x:v>527</x:v>
      </x:c>
      <x:c r="C8" s="29" t="str">
        <x:v>MariaDB</x:v>
      </x:c>
      <x:c r="D8" s="29" t="str">
        <x:v>10.4.32</x:v>
      </x:c>
      <x:c r="E8" s="29" t="s">
        <x:v>528</x:v>
      </x:c>
      <x:c r="F8" s="29" t="str">
        <x:v>Verificado en ambiente.json y ejecucion.json</x:v>
      </x:c>
    </x:row>
    <x:row r="9" ht="67" hidden="0" customHeight="1">
      <x:c r="A9" s="35" t="s">
        <x:v>526</x:v>
      </x:c>
      <x:c r="B9" s="26" t="s">
        <x:v>529</x:v>
      </x:c>
      <x:c r="C9" s="26" t="s">
        <x:v>530</x:v>
      </x:c>
      <x:c r="D9" s="26" t="s">
        <x:v>531</x:v>
      </x:c>
      <x:c r="E9" s="26" t="s">
        <x:v>532</x:v>
      </x:c>
      <x:c r="F9" s="26" t="str">
        <x:v>No utilizado o versión no verificada; no requerido para ejecutar</x:v>
      </x:c>
    </x:row>
    <x:row r="10" ht="67" hidden="0" customHeight="1">
      <x:c r="A10" s="36" t="s">
        <x:v>526</x:v>
      </x:c>
      <x:c r="B10" s="29" t="s">
        <x:v>533</x:v>
      </x:c>
      <x:c r="C10" s="29" t="s">
        <x:v>534</x:v>
      </x:c>
      <x:c r="D10" s="29" t="s">
        <x:v>531</x:v>
      </x:c>
      <x:c r="E10" s="29" t="s">
        <x:v>535</x:v>
      </x:c>
      <x:c r="F10" s="29" t="str">
        <x:v>No utilizado o versión no verificada; no requerido para ejecutar</x:v>
      </x:c>
    </x:row>
    <x:row r="11" ht="67" hidden="0" customHeight="1">
      <x:c r="A11" s="35" t="s">
        <x:v>526</x:v>
      </x:c>
      <x:c r="B11" s="26" t="s">
        <x:v>536</x:v>
      </x:c>
      <x:c r="C11" s="26" t="s">
        <x:v>537</x:v>
      </x:c>
      <x:c r="D11" s="26" t="str">
        <x:v>3.22.6</x:v>
      </x:c>
      <x:c r="E11" s="26" t="s">
        <x:v>538</x:v>
      </x:c>
      <x:c r="F11" s="26" t="str">
        <x:v>Verificado en ambiente.json y ejecucion.json</x:v>
      </x:c>
    </x:row>
    <x:row r="12" ht="67" hidden="0" customHeight="1">
      <x:c r="A12" s="36" t="s">
        <x:v>539</x:v>
      </x:c>
      <x:c r="B12" s="29" t="s">
        <x:v>540</x:v>
      </x:c>
      <x:c r="C12" s="29" t="str">
        <x:v>Node fetch y assert</x:v>
      </x:c>
      <x:c r="D12" s="29" t="str">
        <x:v>Node v24.18.0</x:v>
      </x:c>
      <x:c r="E12" s="29" t="s">
        <x:v>541</x:v>
      </x:c>
      <x:c r="F12" s="29" t="str">
        <x:v>Verificado en ambiente.json y ejecucion.json</x:v>
      </x:c>
    </x:row>
    <x:row r="13" ht="67" hidden="0" customHeight="1">
      <x:c r="A13" s="35" t="s">
        <x:v>539</x:v>
      </x:c>
      <x:c r="B13" s="26" t="s">
        <x:v>542</x:v>
      </x:c>
      <x:c r="C13" s="26" t="s">
        <x:v>543</x:v>
      </x:c>
      <x:c r="D13" s="26" t="s">
        <x:v>531</x:v>
      </x:c>
      <x:c r="E13" s="26" t="s">
        <x:v>544</x:v>
      </x:c>
      <x:c r="F13" s="26" t="str">
        <x:v>No utilizado o versión no verificada; no requerido para ejecutar</x:v>
      </x:c>
    </x:row>
    <x:row r="14" ht="67" hidden="0" customHeight="1">
      <x:c r="A14" s="36" t="s">
        <x:v>539</x:v>
      </x:c>
      <x:c r="B14" s="29" t="s">
        <x:v>545</x:v>
      </x:c>
      <x:c r="C14" s="29" t="str">
        <x:v>Playwright Chromium</x:v>
      </x:c>
      <x:c r="D14" s="29" t="str">
        <x:v>1.64.1</x:v>
      </x:c>
      <x:c r="E14" s="29" t="s">
        <x:v>546</x:v>
      </x:c>
      <x:c r="F14" s="29" t="str">
        <x:v>Verificado en ambiente.json y ejecucion.json</x:v>
      </x:c>
    </x:row>
    <x:row r="15" ht="67" hidden="0" customHeight="1">
      <x:c r="A15" s="35" t="s">
        <x:v>539</x:v>
      </x:c>
      <x:c r="B15" s="26" t="s">
        <x:v>547</x:v>
      </x:c>
      <x:c r="C15" s="26" t="s">
        <x:v>548</x:v>
      </x:c>
      <x:c r="D15" s="26" t="s">
        <x:v>531</x:v>
      </x:c>
      <x:c r="E15" s="26" t="s">
        <x:v>549</x:v>
      </x:c>
      <x:c r="F15" s="26" t="str">
        <x:v>No utilizado o versión no verificada; no requerido para ejecutar</x:v>
      </x:c>
    </x:row>
    <x:row r="16" ht="67" hidden="0" customHeight="1">
      <x:c r="A16" s="36" t="s">
        <x:v>539</x:v>
      </x:c>
      <x:c r="B16" s="29" t="s">
        <x:v>550</x:v>
      </x:c>
      <x:c r="C16" s="29" t="s">
        <x:v>551</x:v>
      </x:c>
      <x:c r="D16" s="29" t="s">
        <x:v>531</x:v>
      </x:c>
      <x:c r="E16" s="29" t="s">
        <x:v>552</x:v>
      </x:c>
      <x:c r="F16" s="29" t="str">
        <x:v>No utilizado o versión no verificada; no requerido para ejecutar</x:v>
      </x:c>
    </x:row>
    <x:row r="17" ht="67" hidden="0" customHeight="1">
      <x:c r="A17" s="35" t="s">
        <x:v>539</x:v>
      </x:c>
      <x:c r="B17" s="26" t="s">
        <x:v>553</x:v>
      </x:c>
      <x:c r="C17" s="26" t="s">
        <x:v>554</x:v>
      </x:c>
      <x:c r="D17" s="26" t="s">
        <x:v>531</x:v>
      </x:c>
      <x:c r="E17" s="26" t="s">
        <x:v>555</x:v>
      </x:c>
      <x:c r="F17" s="26" t="str">
        <x:v>No utilizado o versión no verificada; no requerido para ejecutar</x:v>
      </x:c>
    </x:row>
    <x:row r="18" ht="67" hidden="0" customHeight="1">
      <x:c r="A18" s="36" t="s">
        <x:v>556</x:v>
      </x:c>
      <x:c r="B18" s="29" t="s">
        <x:v>557</x:v>
      </x:c>
      <x:c r="C18" s="29" t="s">
        <x:v>558</x:v>
      </x:c>
      <x:c r="D18" s="29" t="s">
        <x:v>531</x:v>
      </x:c>
      <x:c r="E18" s="29" t="s">
        <x:v>559</x:v>
      </x:c>
      <x:c r="F18" s="29" t="str">
        <x:v>Windows; versión SO no verificada</x:v>
      </x:c>
    </x:row>
    <x:row r="20" ht="15" hidden="0">
      <x:c r="A20" s="17" t="s">
        <x:v>560</x:v>
      </x:c>
    </x:row>
    <x:row r="21" ht="19.5" hidden="0" customHeight="1">
      <x:c r="A21" s="18" t="s">
        <x:v>561</x:v>
      </x:c>
      <x:c r="B21" s="18"/>
      <x:c r="C21" s="18"/>
      <x:c r="D21" s="18"/>
      <x:c r="E21" s="18"/>
      <x:c r="F21" s="18"/>
    </x:row>
    <x:row r="22" ht="19.5" hidden="0" customHeight="1">
      <x:c r="A22" s="18" t="s">
        <x:v>562</x:v>
      </x:c>
      <x:c r="B22" s="18"/>
      <x:c r="C22" s="18"/>
      <x:c r="D22" s="18"/>
      <x:c r="E22" s="18"/>
      <x:c r="F22" s="18"/>
    </x:row>
    <x:row r="23" ht="19.5" hidden="0" customHeight="1">
      <x:c r="A23" s="18" t="s">
        <x:v>563</x:v>
      </x:c>
      <x:c r="B23" s="18"/>
      <x:c r="C23" s="18"/>
      <x:c r="D23" s="18"/>
      <x:c r="E23" s="18"/>
      <x:c r="F23" s="18"/>
    </x:row>
    <x:row r="24" ht="19.5" hidden="0" customHeight="1">
      <x:c r="A24" s="18" t="s">
        <x:v>564</x:v>
      </x:c>
      <x:c r="B24" s="18"/>
      <x:c r="C24" s="18"/>
      <x:c r="D24" s="18"/>
      <x:c r="E24" s="18"/>
      <x:c r="F24" s="18"/>
    </x:row>
    <x:row r="25" ht="19.5" hidden="0" customHeight="1">
      <x:c r="A25" s="18" t="str">
        <x:v>5. Versiones efectivamente usadas en ambiente.json. MySQL 8 no certificado. CP-052 bloqueado: no se detiene el servicio compartido.</x:v>
      </x:c>
      <x:c r="B25" s="18"/>
      <x:c r="C25" s="18"/>
      <x:c r="D25" s="18"/>
      <x:c r="E25" s="18"/>
      <x:c r="F25" s="18"/>
    </x:row>
    <x:row r="26" ht="19.5" hidden="0" customHeight="1">
      <x:c r="A26" s="18" t="str">
        <x:v>6. Cada ejecución crea esquema dj_qa_UUID vacío y fixtures ficticios. Se conserva; no se borra ni se usa la base habitual. Ver ejecutar.cjs y complementarias.cjs.</x:v>
      </x:c>
      <x:c r="B26" s="18"/>
      <x:c r="C26" s="18"/>
      <x:c r="D26" s="18"/>
      <x:c r="E26" s="18"/>
      <x:c r="F26" s="18"/>
    </x:row>
  </x:sheetData>
  <x:mergeCells>
    <x:mergeCell ref="A1:F1"/>
    <x:mergeCell ref="A2:F2"/>
    <x:mergeCell ref="A21:F21"/>
    <x:mergeCell ref="A22:F22"/>
    <x:mergeCell ref="A23:F23"/>
    <x:mergeCell ref="A24:F24"/>
    <x:mergeCell ref="A25:F25"/>
    <x:mergeCell ref="A26:F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0" hidden="0" customWidth="1"/>
    <x:col min="2" max="2" width="20" hidden="0" customWidth="1"/>
    <x:col min="3" max="3" width="32" hidden="0" customWidth="1"/>
    <x:col min="4" max="4" width="40" hidden="0" customWidth="1"/>
    <x:col min="5" max="5" width="18" hidden="0" customWidth="1"/>
    <x:col min="6" max="6" width="54" hidden="0" customWidth="1"/>
  </x:cols>
  <x:sheetData>
    <x:row r="1" ht="27.75" hidden="0" customHeight="1">
      <x:c r="A1" s="1" t="s">
        <x:v>565</x:v>
      </x:c>
      <x:c r="B1" s="1"/>
      <x:c r="C1" s="1"/>
      <x:c r="D1" s="1"/>
      <x:c r="E1" s="1"/>
      <x:c r="F1" s="1"/>
    </x:row>
    <x:row r="2" ht="19.5" hidden="0" customHeight="1">
      <x:c r="A2" s="2" t="s">
        <x:v>1</x:v>
      </x:c>
      <x:c r="B2" s="2"/>
      <x:c r="C2" s="2"/>
      <x:c r="D2" s="2"/>
      <x:c r="E2" s="2"/>
      <x:c r="F2" s="2"/>
    </x:row>
    <x:row r="4" ht="36" hidden="0" customHeight="1">
      <x:c r="A4" s="8" t="s">
        <x:v>566</x:v>
      </x:c>
      <x:c r="B4" s="8" t="s">
        <x:v>41</x:v>
      </x:c>
      <x:c r="C4" s="8" t="s">
        <x:v>567</x:v>
      </x:c>
      <x:c r="D4" s="8" t="s">
        <x:v>568</x:v>
      </x:c>
      <x:c r="E4" s="8" t="s">
        <x:v>569</x:v>
      </x:c>
      <x:c r="F4" s="8" t="s">
        <x:v>570</x:v>
      </x:c>
    </x:row>
    <x:row r="5" ht="27.75" hidden="0" customHeight="1">
      <x:c r="A5" s="15" t="s">
        <x:v>571</x:v>
      </x:c>
      <x:c r="B5" s="10" t="s">
        <x:v>63</x:v>
      </x:c>
      <x:c r="C5" s="10" t="s">
        <x:v>572</x:v>
      </x:c>
      <x:c r="D5" s="10" t="s">
        <x:v>573</x:v>
      </x:c>
      <x:c r="E5" s="10" t="s">
        <x:v>574</x:v>
      </x:c>
      <x:c r="F5" s="10" t="s">
        <x:v>575</x:v>
      </x:c>
    </x:row>
    <x:row r="6" ht="27.75" hidden="0" customHeight="1">
      <x:c r="A6" s="16" t="s">
        <x:v>576</x:v>
      </x:c>
      <x:c r="B6" s="13" t="s">
        <x:v>63</x:v>
      </x:c>
      <x:c r="C6" s="13" t="s">
        <x:v>577</x:v>
      </x:c>
      <x:c r="D6" s="13" t="s">
        <x:v>578</x:v>
      </x:c>
      <x:c r="E6" s="13" t="s">
        <x:v>574</x:v>
      </x:c>
      <x:c r="F6" s="13" t="s">
        <x:v>579</x:v>
      </x:c>
    </x:row>
    <x:row r="7" ht="27.75" hidden="0" customHeight="1">
      <x:c r="A7" s="15" t="s">
        <x:v>580</x:v>
      </x:c>
      <x:c r="B7" s="10" t="s">
        <x:v>63</x:v>
      </x:c>
      <x:c r="C7" s="10" t="s">
        <x:v>581</x:v>
      </x:c>
      <x:c r="D7" s="10" t="s">
        <x:v>582</x:v>
      </x:c>
      <x:c r="E7" s="10" t="s">
        <x:v>583</x:v>
      </x:c>
      <x:c r="F7" s="10" t="s">
        <x:v>584</x:v>
      </x:c>
    </x:row>
    <x:row r="8" ht="27.75" hidden="0" customHeight="1">
      <x:c r="A8" s="16" t="s">
        <x:v>585</x:v>
      </x:c>
      <x:c r="B8" s="13" t="s">
        <x:v>63</x:v>
      </x:c>
      <x:c r="C8" s="13" t="s">
        <x:v>586</x:v>
      </x:c>
      <x:c r="D8" s="13" t="s">
        <x:v>587</x:v>
      </x:c>
      <x:c r="E8" s="13" t="s">
        <x:v>588</x:v>
      </x:c>
      <x:c r="F8" s="13" t="s">
        <x:v>589</x:v>
      </x:c>
    </x:row>
    <x:row r="9" ht="27.75" hidden="0" customHeight="1">
      <x:c r="A9" s="15" t="s">
        <x:v>590</x:v>
      </x:c>
      <x:c r="B9" s="10" t="s">
        <x:v>141</x:v>
      </x:c>
      <x:c r="C9" s="10" t="s">
        <x:v>591</x:v>
      </x:c>
      <x:c r="D9" s="10" t="s">
        <x:v>592</x:v>
      </x:c>
      <x:c r="E9" s="10" t="s">
        <x:v>574</x:v>
      </x:c>
      <x:c r="F9" s="10" t="s">
        <x:v>593</x:v>
      </x:c>
    </x:row>
    <x:row r="10" ht="27.75" hidden="0" customHeight="1">
      <x:c r="A10" s="16" t="s">
        <x:v>594</x:v>
      </x:c>
      <x:c r="B10" s="13" t="s">
        <x:v>174</x:v>
      </x:c>
      <x:c r="C10" s="13" t="s">
        <x:v>595</x:v>
      </x:c>
      <x:c r="D10" s="13" t="s">
        <x:v>596</x:v>
      </x:c>
      <x:c r="E10" s="13" t="s">
        <x:v>574</x:v>
      </x:c>
      <x:c r="F10" s="13" t="s">
        <x:v>597</x:v>
      </x:c>
    </x:row>
    <x:row r="11" ht="27.75" hidden="0" customHeight="1">
      <x:c r="A11" s="15" t="s">
        <x:v>598</x:v>
      </x:c>
      <x:c r="B11" s="10" t="s">
        <x:v>174</x:v>
      </x:c>
      <x:c r="C11" s="10" t="s">
        <x:v>599</x:v>
      </x:c>
      <x:c r="D11" s="10" t="s">
        <x:v>600</x:v>
      </x:c>
      <x:c r="E11" s="10" t="s">
        <x:v>574</x:v>
      </x:c>
      <x:c r="F11" s="10" t="s">
        <x:v>601</x:v>
      </x:c>
    </x:row>
    <x:row r="12" ht="27.75" hidden="0" customHeight="1">
      <x:c r="A12" s="16" t="s">
        <x:v>602</x:v>
      </x:c>
      <x:c r="B12" s="13" t="s">
        <x:v>174</x:v>
      </x:c>
      <x:c r="C12" s="13" t="s">
        <x:v>603</x:v>
      </x:c>
      <x:c r="D12" s="13" t="s">
        <x:v>604</x:v>
      </x:c>
      <x:c r="E12" s="13" t="s">
        <x:v>583</x:v>
      </x:c>
      <x:c r="F12" s="13" t="s">
        <x:v>605</x:v>
      </x:c>
    </x:row>
    <x:row r="13" ht="27.75" hidden="0" customHeight="1">
      <x:c r="A13" s="15" t="s">
        <x:v>606</x:v>
      </x:c>
      <x:c r="B13" s="10" t="s">
        <x:v>213</x:v>
      </x:c>
      <x:c r="C13" s="10" t="s">
        <x:v>607</x:v>
      </x:c>
      <x:c r="D13" s="10" t="s">
        <x:v>608</x:v>
      </x:c>
      <x:c r="E13" s="10" t="s">
        <x:v>574</x:v>
      </x:c>
      <x:c r="F13" s="10" t="s">
        <x:v>609</x:v>
      </x:c>
    </x:row>
    <x:row r="14" ht="27.75" hidden="0" customHeight="1">
      <x:c r="A14" s="16" t="s">
        <x:v>610</x:v>
      </x:c>
      <x:c r="B14" s="13" t="s">
        <x:v>213</x:v>
      </x:c>
      <x:c r="C14" s="13" t="s">
        <x:v>611</x:v>
      </x:c>
      <x:c r="D14" s="13" t="s">
        <x:v>612</x:v>
      </x:c>
      <x:c r="E14" s="13" t="s">
        <x:v>583</x:v>
      </x:c>
      <x:c r="F14" s="13" t="s">
        <x:v>613</x:v>
      </x:c>
    </x:row>
    <x:row r="15" ht="27.75" hidden="0" customHeight="1">
      <x:c r="A15" s="15" t="s">
        <x:v>614</x:v>
      </x:c>
      <x:c r="B15" s="10" t="s">
        <x:v>251</x:v>
      </x:c>
      <x:c r="C15" s="10" t="s">
        <x:v>264</x:v>
      </x:c>
      <x:c r="D15" s="10" t="s">
        <x:v>615</x:v>
      </x:c>
      <x:c r="E15" s="10" t="s">
        <x:v>574</x:v>
      </x:c>
      <x:c r="F15" s="10" t="s">
        <x:v>616</x:v>
      </x:c>
    </x:row>
    <x:row r="16" ht="27.75" hidden="0" customHeight="1">
      <x:c r="A16" s="16" t="s">
        <x:v>617</x:v>
      </x:c>
      <x:c r="B16" s="13" t="s">
        <x:v>275</x:v>
      </x:c>
      <x:c r="C16" s="13" t="s">
        <x:v>618</x:v>
      </x:c>
      <x:c r="D16" s="13" t="s">
        <x:v>619</x:v>
      </x:c>
      <x:c r="E16" s="13" t="s">
        <x:v>574</x:v>
      </x:c>
      <x:c r="F16" s="13" t="s">
        <x:v>620</x:v>
      </x:c>
    </x:row>
    <x:row r="17" ht="27.75" hidden="0" customHeight="1">
      <x:c r="A17" s="15" t="s">
        <x:v>621</x:v>
      </x:c>
      <x:c r="B17" s="10" t="s">
        <x:v>275</x:v>
      </x:c>
      <x:c r="C17" s="10" t="s">
        <x:v>622</x:v>
      </x:c>
      <x:c r="D17" s="10" t="s">
        <x:v>623</x:v>
      </x:c>
      <x:c r="E17" s="10" t="s">
        <x:v>588</x:v>
      </x:c>
      <x:c r="F17" s="10" t="s">
        <x:v>85</x:v>
      </x:c>
    </x:row>
    <x:row r="18" ht="27.75" hidden="0" customHeight="1">
      <x:c r="A18" s="16" t="s">
        <x:v>624</x:v>
      </x:c>
      <x:c r="B18" s="13" t="s">
        <x:v>307</x:v>
      </x:c>
      <x:c r="C18" s="13" t="s">
        <x:v>625</x:v>
      </x:c>
      <x:c r="D18" s="13" t="s">
        <x:v>626</x:v>
      </x:c>
      <x:c r="E18" s="13" t="s">
        <x:v>574</x:v>
      </x:c>
      <x:c r="F18" s="13" t="s">
        <x:v>627</x:v>
      </x:c>
    </x:row>
    <x:row r="19" ht="27.75" hidden="0" customHeight="1">
      <x:c r="A19" s="15" t="s">
        <x:v>628</x:v>
      </x:c>
      <x:c r="B19" s="10" t="s">
        <x:v>307</x:v>
      </x:c>
      <x:c r="C19" s="10" t="s">
        <x:v>629</x:v>
      </x:c>
      <x:c r="D19" s="10" t="s">
        <x:v>630</x:v>
      </x:c>
      <x:c r="E19" s="10" t="s">
        <x:v>583</x:v>
      </x:c>
      <x:c r="F19" s="10" t="s">
        <x:v>631</x:v>
      </x:c>
    </x:row>
    <x:row r="20" ht="27.75" hidden="0" customHeight="1">
      <x:c r="A20" s="16" t="s">
        <x:v>632</x:v>
      </x:c>
      <x:c r="B20" s="13" t="s">
        <x:v>338</x:v>
      </x:c>
      <x:c r="C20" s="13" t="s">
        <x:v>633</x:v>
      </x:c>
      <x:c r="D20" s="13" t="s">
        <x:v>634</x:v>
      </x:c>
      <x:c r="E20" s="13" t="s">
        <x:v>574</x:v>
      </x:c>
      <x:c r="F20" s="13" t="s">
        <x:v>635</x:v>
      </x:c>
    </x:row>
    <x:row r="21" ht="27.75" hidden="0" customHeight="1">
      <x:c r="A21" s="15" t="s">
        <x:v>636</x:v>
      </x:c>
      <x:c r="B21" s="10" t="s">
        <x:v>370</x:v>
      </x:c>
      <x:c r="C21" s="10" t="s">
        <x:v>637</x:v>
      </x:c>
      <x:c r="D21" s="10" t="s">
        <x:v>638</x:v>
      </x:c>
      <x:c r="E21" s="10" t="s">
        <x:v>574</x:v>
      </x:c>
      <x:c r="F21" s="10" t="s">
        <x:v>639</x:v>
      </x:c>
    </x:row>
    <x:row r="22" ht="27.75" hidden="0" customHeight="1">
      <x:c r="A22" s="16" t="s">
        <x:v>640</x:v>
      </x:c>
      <x:c r="B22" s="13" t="s">
        <x:v>370</x:v>
      </x:c>
      <x:c r="C22" s="13" t="s">
        <x:v>641</x:v>
      </x:c>
      <x:c r="D22" s="13" t="s">
        <x:v>642</x:v>
      </x:c>
      <x:c r="E22" s="13" t="s">
        <x:v>583</x:v>
      </x:c>
      <x:c r="F22" s="13" t="s">
        <x:v>85</x:v>
      </x:c>
    </x:row>
    <x:row r="23" ht="27.75" hidden="0" customHeight="1">
      <x:c r="A23" s="15" t="s">
        <x:v>643</x:v>
      </x:c>
      <x:c r="B23" s="10" t="s">
        <x:v>426</x:v>
      </x:c>
      <x:c r="C23" s="10" t="s">
        <x:v>644</x:v>
      </x:c>
      <x:c r="D23" s="10" t="s">
        <x:v>645</x:v>
      </x:c>
      <x:c r="E23" s="10" t="s">
        <x:v>646</x:v>
      </x:c>
      <x:c r="F23" s="10" t="s">
        <x:v>647</x:v>
      </x:c>
    </x:row>
    <x:row r="24" ht="27.75" hidden="0" customHeight="1">
      <x:c r="A24" s="16" t="s">
        <x:v>648</x:v>
      </x:c>
      <x:c r="B24" s="13" t="s">
        <x:v>475</x:v>
      </x:c>
      <x:c r="C24" s="13" t="s">
        <x:v>649</x:v>
      </x:c>
      <x:c r="D24" s="13" t="s">
        <x:v>650</x:v>
      </x:c>
      <x:c r="E24" s="13" t="s">
        <x:v>583</x:v>
      </x:c>
      <x:c r="F24" s="13" t="s">
        <x:v>651</x:v>
      </x:c>
    </x:row>
    <x:row r="26" ht="15" hidden="0">
      <x:c r="A26" s="6" t="s">
        <x:v>652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8.6796875" defaultRowHeight="15"/>
  <x:cols>
    <x:col min="1" max="1" width="16" hidden="0" customWidth="1"/>
    <x:col min="2" max="2" width="30" hidden="0" customWidth="1"/>
    <x:col min="3" max="3" width="20" hidden="0" customWidth="1"/>
    <x:col min="4" max="4" width="52" hidden="0" customWidth="1"/>
    <x:col min="5" max="5" width="18" hidden="0" customWidth="1"/>
    <x:col min="6" max="6" width="32" hidden="0" customWidth="1"/>
    <x:col min="7" max="7" width="12" hidden="0" customWidth="1"/>
    <x:col min="8" max="8" width="16" hidden="0" customWidth="1"/>
  </x:cols>
  <x:sheetData>
    <x:row r="1" ht="27.75" hidden="0" customHeight="1">
      <x:c r="A1" s="1" t="s">
        <x:v>653</x:v>
      </x:c>
      <x:c r="B1" s="1"/>
      <x:c r="C1" s="1"/>
      <x:c r="D1" s="1"/>
      <x:c r="E1" s="1"/>
      <x:c r="F1" s="1"/>
      <x:c r="G1" s="1"/>
      <x:c r="H1" s="1"/>
    </x:row>
    <x:row r="2" ht="19.5" hidden="0" customHeight="1">
      <x:c r="A2" s="2" t="s">
        <x:v>1</x:v>
      </x:c>
      <x:c r="B2" s="2"/>
      <x:c r="C2" s="2"/>
      <x:c r="D2" s="2"/>
      <x:c r="E2" s="2"/>
      <x:c r="F2" s="2"/>
      <x:c r="G2" s="2"/>
      <x:c r="H2" s="2"/>
    </x:row>
    <x:row r="4" ht="36" hidden="0" customHeight="1">
      <x:c r="A4" s="8" t="s">
        <x:v>654</x:v>
      </x:c>
      <x:c r="B4" s="8" t="s">
        <x:v>655</x:v>
      </x:c>
      <x:c r="C4" s="8" t="s">
        <x:v>41</x:v>
      </x:c>
      <x:c r="D4" s="8" t="s">
        <x:v>656</x:v>
      </x:c>
      <x:c r="E4" s="8" t="s">
        <x:v>657</x:v>
      </x:c>
      <x:c r="F4" s="8" t="s">
        <x:v>658</x:v>
      </x:c>
      <x:c r="G4" s="8" t="s">
        <x:v>659</x:v>
      </x:c>
      <x:c r="H4" s="8" t="s">
        <x:v>660</x:v>
      </x:c>
    </x:row>
    <x:row r="5" ht="30" hidden="0" customHeight="1">
      <x:c r="A5" s="15" t="s">
        <x:v>661</x:v>
      </x:c>
      <x:c r="B5" s="10" t="s">
        <x:v>662</x:v>
      </x:c>
      <x:c r="C5" s="10" t="s">
        <x:v>63</x:v>
      </x:c>
      <x:c r="D5" s="10" t="s">
        <x:v>663</x:v>
      </x:c>
      <x:c r="E5" s="10" t="s">
        <x:v>664</x:v>
      </x:c>
      <x:c r="F5" s="10" t="s">
        <x:v>665</x:v>
      </x:c>
      <x:c r="G5" s="11" t="n">
        <x:f aca="0">COUNTIF('MATRIZ GENERAL DE CASOS'!$C$5:$C$59,A5&amp;" /*")</x:f>
        <x:v>0</x:v>
      </x:c>
      <x:c r="H5" s="11" t="str">
        <x:f aca="0">IF(G5&gt;0,"Cubierto","Sin cobertura")</x:f>
        <x:v>Sin cobertura</x:v>
      </x:c>
    </x:row>
    <x:row r="6" ht="30" hidden="0" customHeight="1">
      <x:c r="A6" s="16" t="s">
        <x:v>666</x:v>
      </x:c>
      <x:c r="B6" s="13" t="s">
        <x:v>662</x:v>
      </x:c>
      <x:c r="C6" s="13" t="s">
        <x:v>63</x:v>
      </x:c>
      <x:c r="D6" s="13" t="s">
        <x:v>667</x:v>
      </x:c>
      <x:c r="E6" s="13" t="s">
        <x:v>664</x:v>
      </x:c>
      <x:c r="F6" s="13" t="s">
        <x:v>665</x:v>
      </x:c>
      <x:c r="G6" s="14" t="n">
        <x:f aca="0">COUNTIF('MATRIZ GENERAL DE CASOS'!$C$5:$C$59,A6&amp;" /*")</x:f>
        <x:v>0</x:v>
      </x:c>
      <x:c r="H6" s="14" t="str">
        <x:f aca="0">IF(G6&gt;0,"Cubierto","Sin cobertura")</x:f>
        <x:v>Sin cobertura</x:v>
      </x:c>
    </x:row>
    <x:row r="7" ht="30" hidden="0" customHeight="1">
      <x:c r="A7" s="15" t="s">
        <x:v>668</x:v>
      </x:c>
      <x:c r="B7" s="10" t="s">
        <x:v>662</x:v>
      </x:c>
      <x:c r="C7" s="10" t="s">
        <x:v>63</x:v>
      </x:c>
      <x:c r="D7" s="10" t="s">
        <x:v>669</x:v>
      </x:c>
      <x:c r="E7" s="10" t="s">
        <x:v>664</x:v>
      </x:c>
      <x:c r="F7" s="10" t="s">
        <x:v>665</x:v>
      </x:c>
      <x:c r="G7" s="11" t="n">
        <x:f aca="0">COUNTIF('MATRIZ GENERAL DE CASOS'!$C$5:$C$59,A7&amp;" /*")</x:f>
        <x:v>0</x:v>
      </x:c>
      <x:c r="H7" s="11" t="str">
        <x:f aca="0">IF(G7&gt;0,"Cubierto","Sin cobertura")</x:f>
        <x:v>Sin cobertura</x:v>
      </x:c>
    </x:row>
    <x:row r="8" ht="30" hidden="0" customHeight="1">
      <x:c r="A8" s="16" t="s">
        <x:v>670</x:v>
      </x:c>
      <x:c r="B8" s="13" t="s">
        <x:v>671</x:v>
      </x:c>
      <x:c r="C8" s="13" t="s">
        <x:v>101</x:v>
      </x:c>
      <x:c r="D8" s="13" t="s">
        <x:v>672</x:v>
      </x:c>
      <x:c r="E8" s="13" t="s">
        <x:v>664</x:v>
      </x:c>
      <x:c r="F8" s="13" t="s">
        <x:v>665</x:v>
      </x:c>
      <x:c r="G8" s="14" t="n">
        <x:f aca="0">COUNTIF('MATRIZ GENERAL DE CASOS'!$C$5:$C$59,A8&amp;" /*")</x:f>
        <x:v>0</x:v>
      </x:c>
      <x:c r="H8" s="14" t="str">
        <x:f aca="0">IF(G8&gt;0,"Cubierto","Sin cobertura")</x:f>
        <x:v>Sin cobertura</x:v>
      </x:c>
    </x:row>
    <x:row r="9" ht="30" hidden="0" customHeight="1">
      <x:c r="A9" s="15" t="s">
        <x:v>673</x:v>
      </x:c>
      <x:c r="B9" s="10" t="s">
        <x:v>671</x:v>
      </x:c>
      <x:c r="C9" s="10" t="s">
        <x:v>101</x:v>
      </x:c>
      <x:c r="D9" s="10" t="s">
        <x:v>674</x:v>
      </x:c>
      <x:c r="E9" s="10" t="s">
        <x:v>664</x:v>
      </x:c>
      <x:c r="F9" s="10" t="s">
        <x:v>665</x:v>
      </x:c>
      <x:c r="G9" s="11" t="n">
        <x:f aca="0">COUNTIF('MATRIZ GENERAL DE CASOS'!$C$5:$C$59,A9&amp;" /*")</x:f>
        <x:v>0</x:v>
      </x:c>
      <x:c r="H9" s="11" t="str">
        <x:f aca="0">IF(G9&gt;0,"Cubierto","Sin cobertura")</x:f>
        <x:v>Sin cobertura</x:v>
      </x:c>
    </x:row>
    <x:row r="10" ht="30" hidden="0" customHeight="1">
      <x:c r="A10" s="16" t="s">
        <x:v>675</x:v>
      </x:c>
      <x:c r="B10" s="13" t="s">
        <x:v>671</x:v>
      </x:c>
      <x:c r="C10" s="13" t="s">
        <x:v>101</x:v>
      </x:c>
      <x:c r="D10" s="13" t="s">
        <x:v>676</x:v>
      </x:c>
      <x:c r="E10" s="13" t="s">
        <x:v>664</x:v>
      </x:c>
      <x:c r="F10" s="13" t="s">
        <x:v>665</x:v>
      </x:c>
      <x:c r="G10" s="14" t="n">
        <x:f aca="0">COUNTIF('MATRIZ GENERAL DE CASOS'!$C$5:$C$59,A10&amp;" /*")</x:f>
        <x:v>0</x:v>
      </x:c>
      <x:c r="H10" s="14" t="str">
        <x:f aca="0">IF(G10&gt;0,"Cubierto","Sin cobertura")</x:f>
        <x:v>Sin cobertura</x:v>
      </x:c>
    </x:row>
    <x:row r="11" ht="30" hidden="0" customHeight="1">
      <x:c r="A11" s="15" t="s">
        <x:v>677</x:v>
      </x:c>
      <x:c r="B11" s="10" t="s">
        <x:v>671</x:v>
      </x:c>
      <x:c r="C11" s="10" t="s">
        <x:v>101</x:v>
      </x:c>
      <x:c r="D11" s="10" t="s">
        <x:v>678</x:v>
      </x:c>
      <x:c r="E11" s="10" t="s">
        <x:v>664</x:v>
      </x:c>
      <x:c r="F11" s="10" t="s">
        <x:v>665</x:v>
      </x:c>
      <x:c r="G11" s="11" t="n">
        <x:f aca="0">COUNTIF('MATRIZ GENERAL DE CASOS'!$C$5:$C$59,A11&amp;" /*")</x:f>
        <x:v>0</x:v>
      </x:c>
      <x:c r="H11" s="11" t="str">
        <x:f aca="0">IF(G11&gt;0,"Cubierto","Sin cobertura")</x:f>
        <x:v>Sin cobertura</x:v>
      </x:c>
    </x:row>
    <x:row r="12" ht="30" hidden="0" customHeight="1">
      <x:c r="A12" s="16" t="s">
        <x:v>679</x:v>
      </x:c>
      <x:c r="B12" s="13" t="s">
        <x:v>680</x:v>
      </x:c>
      <x:c r="C12" s="13" t="s">
        <x:v>141</x:v>
      </x:c>
      <x:c r="D12" s="13" t="s">
        <x:v>681</x:v>
      </x:c>
      <x:c r="E12" s="13" t="s">
        <x:v>682</x:v>
      </x:c>
      <x:c r="F12" s="13" t="s">
        <x:v>683</x:v>
      </x:c>
      <x:c r="G12" s="14" t="n">
        <x:f aca="0">COUNTIF('MATRIZ GENERAL DE CASOS'!$C$5:$C$59,A12&amp;" /*")</x:f>
        <x:v>0</x:v>
      </x:c>
      <x:c r="H12" s="14" t="str">
        <x:f aca="0">IF(G12&gt;0,"Cubierto","Sin cobertura")</x:f>
        <x:v>Sin cobertura</x:v>
      </x:c>
    </x:row>
    <x:row r="13" ht="30" hidden="0" customHeight="1">
      <x:c r="A13" s="15" t="s">
        <x:v>684</x:v>
      </x:c>
      <x:c r="B13" s="10" t="s">
        <x:v>680</x:v>
      </x:c>
      <x:c r="C13" s="10" t="s">
        <x:v>141</x:v>
      </x:c>
      <x:c r="D13" s="10" t="s">
        <x:v>685</x:v>
      </x:c>
      <x:c r="E13" s="10" t="s">
        <x:v>682</x:v>
      </x:c>
      <x:c r="F13" s="10" t="s">
        <x:v>683</x:v>
      </x:c>
      <x:c r="G13" s="11" t="n">
        <x:f aca="0">COUNTIF('MATRIZ GENERAL DE CASOS'!$C$5:$C$59,A13&amp;" /*")</x:f>
        <x:v>0</x:v>
      </x:c>
      <x:c r="H13" s="11" t="str">
        <x:f aca="0">IF(G13&gt;0,"Cubierto","Sin cobertura")</x:f>
        <x:v>Sin cobertura</x:v>
      </x:c>
    </x:row>
    <x:row r="14" ht="30" hidden="0" customHeight="1">
      <x:c r="A14" s="16" t="s">
        <x:v>686</x:v>
      </x:c>
      <x:c r="B14" s="13" t="s">
        <x:v>680</x:v>
      </x:c>
      <x:c r="C14" s="13" t="s">
        <x:v>141</x:v>
      </x:c>
      <x:c r="D14" s="13" t="s">
        <x:v>687</x:v>
      </x:c>
      <x:c r="E14" s="13" t="s">
        <x:v>682</x:v>
      </x:c>
      <x:c r="F14" s="13" t="s">
        <x:v>683</x:v>
      </x:c>
      <x:c r="G14" s="14" t="n">
        <x:f aca="0">COUNTIF('MATRIZ GENERAL DE CASOS'!$C$5:$C$59,A14&amp;" /*")</x:f>
        <x:v>0</x:v>
      </x:c>
      <x:c r="H14" s="14" t="str">
        <x:f aca="0">IF(G14&gt;0,"Cubierto","Sin cobertura")</x:f>
        <x:v>Sin cobertura</x:v>
      </x:c>
    </x:row>
    <x:row r="15" ht="30" hidden="0" customHeight="1">
      <x:c r="A15" s="15" t="s">
        <x:v>688</x:v>
      </x:c>
      <x:c r="B15" s="10" t="s">
        <x:v>680</x:v>
      </x:c>
      <x:c r="C15" s="10" t="s">
        <x:v>174</x:v>
      </x:c>
      <x:c r="D15" s="10" t="s">
        <x:v>689</x:v>
      </x:c>
      <x:c r="E15" s="10" t="s">
        <x:v>690</x:v>
      </x:c>
      <x:c r="F15" s="10" t="s">
        <x:v>691</x:v>
      </x:c>
      <x:c r="G15" s="11" t="n">
        <x:f aca="0">COUNTIF('MATRIZ GENERAL DE CASOS'!$C$5:$C$59,A15&amp;" /*")</x:f>
        <x:v>0</x:v>
      </x:c>
      <x:c r="H15" s="11" t="str">
        <x:f aca="0">IF(G15&gt;0,"Cubierto","Sin cobertura")</x:f>
        <x:v>Sin cobertura</x:v>
      </x:c>
    </x:row>
    <x:row r="16" ht="30" hidden="0" customHeight="1">
      <x:c r="A16" s="16" t="s">
        <x:v>692</x:v>
      </x:c>
      <x:c r="B16" s="13" t="s">
        <x:v>680</x:v>
      </x:c>
      <x:c r="C16" s="13" t="s">
        <x:v>174</x:v>
      </x:c>
      <x:c r="D16" s="13" t="s">
        <x:v>693</x:v>
      </x:c>
      <x:c r="E16" s="13" t="s">
        <x:v>690</x:v>
      </x:c>
      <x:c r="F16" s="13" t="s">
        <x:v>691</x:v>
      </x:c>
      <x:c r="G16" s="14" t="n">
        <x:f aca="0">COUNTIF('MATRIZ GENERAL DE CASOS'!$C$5:$C$59,A16&amp;" /*")</x:f>
        <x:v>0</x:v>
      </x:c>
      <x:c r="H16" s="14" t="str">
        <x:f aca="0">IF(G16&gt;0,"Cubierto","Sin cobertura")</x:f>
        <x:v>Sin cobertura</x:v>
      </x:c>
    </x:row>
    <x:row r="17" ht="30" hidden="0" customHeight="1">
      <x:c r="A17" s="15" t="s">
        <x:v>694</x:v>
      </x:c>
      <x:c r="B17" s="10" t="s">
        <x:v>680</x:v>
      </x:c>
      <x:c r="C17" s="10" t="s">
        <x:v>174</x:v>
      </x:c>
      <x:c r="D17" s="10" t="s">
        <x:v>695</x:v>
      </x:c>
      <x:c r="E17" s="10" t="s">
        <x:v>690</x:v>
      </x:c>
      <x:c r="F17" s="10" t="s">
        <x:v>691</x:v>
      </x:c>
      <x:c r="G17" s="11" t="n">
        <x:f aca="0">COUNTIF('MATRIZ GENERAL DE CASOS'!$C$5:$C$59,A17&amp;" /*")</x:f>
        <x:v>0</x:v>
      </x:c>
      <x:c r="H17" s="11" t="str">
        <x:f aca="0">IF(G17&gt;0,"Cubierto","Sin cobertura")</x:f>
        <x:v>Sin cobertura</x:v>
      </x:c>
    </x:row>
    <x:row r="18" ht="30" hidden="0" customHeight="1">
      <x:c r="A18" s="16" t="s">
        <x:v>696</x:v>
      </x:c>
      <x:c r="B18" s="13" t="s">
        <x:v>680</x:v>
      </x:c>
      <x:c r="C18" s="13" t="s">
        <x:v>213</x:v>
      </x:c>
      <x:c r="D18" s="13" t="s">
        <x:v>697</x:v>
      </x:c>
      <x:c r="E18" s="13" t="s">
        <x:v>698</x:v>
      </x:c>
      <x:c r="F18" s="13" t="s">
        <x:v>691</x:v>
      </x:c>
      <x:c r="G18" s="14" t="n">
        <x:f aca="0">COUNTIF('MATRIZ GENERAL DE CASOS'!$C$5:$C$59,A18&amp;" /*")</x:f>
        <x:v>0</x:v>
      </x:c>
      <x:c r="H18" s="14" t="str">
        <x:f aca="0">IF(G18&gt;0,"Cubierto","Sin cobertura")</x:f>
        <x:v>Sin cobertura</x:v>
      </x:c>
    </x:row>
    <x:row r="19" ht="30" hidden="0" customHeight="1">
      <x:c r="A19" s="15" t="s">
        <x:v>699</x:v>
      </x:c>
      <x:c r="B19" s="10" t="s">
        <x:v>680</x:v>
      </x:c>
      <x:c r="C19" s="10" t="s">
        <x:v>213</x:v>
      </x:c>
      <x:c r="D19" s="10" t="s">
        <x:v>700</x:v>
      </x:c>
      <x:c r="E19" s="10" t="s">
        <x:v>698</x:v>
      </x:c>
      <x:c r="F19" s="10" t="s">
        <x:v>691</x:v>
      </x:c>
      <x:c r="G19" s="11" t="n">
        <x:f aca="0">COUNTIF('MATRIZ GENERAL DE CASOS'!$C$5:$C$59,A19&amp;" /*")</x:f>
        <x:v>0</x:v>
      </x:c>
      <x:c r="H19" s="11" t="str">
        <x:f aca="0">IF(G19&gt;0,"Cubierto","Sin cobertura")</x:f>
        <x:v>Sin cobertura</x:v>
      </x:c>
    </x:row>
    <x:row r="20" ht="30" hidden="0" customHeight="1">
      <x:c r="A20" s="16" t="s">
        <x:v>701</x:v>
      </x:c>
      <x:c r="B20" s="13" t="s">
        <x:v>680</x:v>
      </x:c>
      <x:c r="C20" s="13" t="s">
        <x:v>213</x:v>
      </x:c>
      <x:c r="D20" s="13" t="s">
        <x:v>702</x:v>
      </x:c>
      <x:c r="E20" s="13" t="s">
        <x:v>698</x:v>
      </x:c>
      <x:c r="F20" s="13" t="s">
        <x:v>691</x:v>
      </x:c>
      <x:c r="G20" s="14" t="n">
        <x:f aca="0">COUNTIF('MATRIZ GENERAL DE CASOS'!$C$5:$C$59,A20&amp;" /*")</x:f>
        <x:v>0</x:v>
      </x:c>
      <x:c r="H20" s="14" t="str">
        <x:f aca="0">IF(G20&gt;0,"Cubierto","Sin cobertura")</x:f>
        <x:v>Sin cobertura</x:v>
      </x:c>
    </x:row>
    <x:row r="21" ht="30" hidden="0" customHeight="1">
      <x:c r="A21" s="15" t="s">
        <x:v>703</x:v>
      </x:c>
      <x:c r="B21" s="10" t="s">
        <x:v>680</x:v>
      </x:c>
      <x:c r="C21" s="10" t="s">
        <x:v>213</x:v>
      </x:c>
      <x:c r="D21" s="10" t="s">
        <x:v>704</x:v>
      </x:c>
      <x:c r="E21" s="10" t="s">
        <x:v>698</x:v>
      </x:c>
      <x:c r="F21" s="10" t="s">
        <x:v>691</x:v>
      </x:c>
      <x:c r="G21" s="11" t="n">
        <x:f aca="0">COUNTIF('MATRIZ GENERAL DE CASOS'!$C$5:$C$59,A21&amp;" /*")</x:f>
        <x:v>0</x:v>
      </x:c>
      <x:c r="H21" s="11" t="str">
        <x:f aca="0">IF(G21&gt;0,"Cubierto","Sin cobertura")</x:f>
        <x:v>Sin cobertura</x:v>
      </x:c>
    </x:row>
    <x:row r="22" ht="30" hidden="0" customHeight="1">
      <x:c r="A22" s="16" t="s">
        <x:v>705</x:v>
      </x:c>
      <x:c r="B22" s="13" t="s">
        <x:v>680</x:v>
      </x:c>
      <x:c r="C22" s="13" t="s">
        <x:v>251</x:v>
      </x:c>
      <x:c r="D22" s="13" t="s">
        <x:v>706</x:v>
      </x:c>
      <x:c r="E22" s="13" t="s">
        <x:v>707</x:v>
      </x:c>
      <x:c r="F22" s="13" t="s">
        <x:v>683</x:v>
      </x:c>
      <x:c r="G22" s="14" t="n">
        <x:f aca="0">COUNTIF('MATRIZ GENERAL DE CASOS'!$C$5:$C$59,A22&amp;" /*")</x:f>
        <x:v>0</x:v>
      </x:c>
      <x:c r="H22" s="14" t="str">
        <x:f aca="0">IF(G22&gt;0,"Cubierto","Sin cobertura")</x:f>
        <x:v>Sin cobertura</x:v>
      </x:c>
    </x:row>
    <x:row r="23" ht="30" hidden="0" customHeight="1">
      <x:c r="A23" s="15" t="s">
        <x:v>708</x:v>
      </x:c>
      <x:c r="B23" s="10" t="s">
        <x:v>680</x:v>
      </x:c>
      <x:c r="C23" s="10" t="s">
        <x:v>251</x:v>
      </x:c>
      <x:c r="D23" s="10" t="s">
        <x:v>709</x:v>
      </x:c>
      <x:c r="E23" s="10" t="s">
        <x:v>707</x:v>
      </x:c>
      <x:c r="F23" s="10" t="s">
        <x:v>683</x:v>
      </x:c>
      <x:c r="G23" s="11" t="n">
        <x:f aca="0">COUNTIF('MATRIZ GENERAL DE CASOS'!$C$5:$C$59,A23&amp;" /*")</x:f>
        <x:v>0</x:v>
      </x:c>
      <x:c r="H23" s="11" t="str">
        <x:f aca="0">IF(G23&gt;0,"Cubierto","Sin cobertura")</x:f>
        <x:v>Sin cobertura</x:v>
      </x:c>
    </x:row>
    <x:row r="24" ht="30" hidden="0" customHeight="1">
      <x:c r="A24" s="16" t="s">
        <x:v>710</x:v>
      </x:c>
      <x:c r="B24" s="13" t="s">
        <x:v>711</x:v>
      </x:c>
      <x:c r="C24" s="13" t="s">
        <x:v>275</x:v>
      </x:c>
      <x:c r="D24" s="13" t="s">
        <x:v>712</x:v>
      </x:c>
      <x:c r="E24" s="13" t="s">
        <x:v>713</x:v>
      </x:c>
      <x:c r="F24" s="13" t="s">
        <x:v>683</x:v>
      </x:c>
      <x:c r="G24" s="14" t="n">
        <x:f aca="0">COUNTIF('MATRIZ GENERAL DE CASOS'!$C$5:$C$59,A24&amp;" /*")</x:f>
        <x:v>0</x:v>
      </x:c>
      <x:c r="H24" s="14" t="str">
        <x:f aca="0">IF(G24&gt;0,"Cubierto","Sin cobertura")</x:f>
        <x:v>Sin cobertura</x:v>
      </x:c>
    </x:row>
    <x:row r="25" ht="30" hidden="0" customHeight="1">
      <x:c r="A25" s="15" t="s">
        <x:v>714</x:v>
      </x:c>
      <x:c r="B25" s="10" t="s">
        <x:v>711</x:v>
      </x:c>
      <x:c r="C25" s="10" t="s">
        <x:v>275</x:v>
      </x:c>
      <x:c r="D25" s="10" t="s">
        <x:v>715</x:v>
      </x:c>
      <x:c r="E25" s="10" t="s">
        <x:v>713</x:v>
      </x:c>
      <x:c r="F25" s="10" t="s">
        <x:v>683</x:v>
      </x:c>
      <x:c r="G25" s="11" t="n">
        <x:f aca="0">COUNTIF('MATRIZ GENERAL DE CASOS'!$C$5:$C$59,A25&amp;" /*")</x:f>
        <x:v>0</x:v>
      </x:c>
      <x:c r="H25" s="11" t="str">
        <x:f aca="0">IF(G25&gt;0,"Cubierto","Sin cobertura")</x:f>
        <x:v>Sin cobertura</x:v>
      </x:c>
    </x:row>
    <x:row r="26" ht="30" hidden="0" customHeight="1">
      <x:c r="A26" s="16" t="s">
        <x:v>716</x:v>
      </x:c>
      <x:c r="B26" s="13" t="s">
        <x:v>711</x:v>
      </x:c>
      <x:c r="C26" s="13" t="s">
        <x:v>275</x:v>
      </x:c>
      <x:c r="D26" s="13" t="s">
        <x:v>717</x:v>
      </x:c>
      <x:c r="E26" s="13" t="s">
        <x:v>713</x:v>
      </x:c>
      <x:c r="F26" s="13" t="s">
        <x:v>683</x:v>
      </x:c>
      <x:c r="G26" s="14" t="n">
        <x:f aca="0">COUNTIF('MATRIZ GENERAL DE CASOS'!$C$5:$C$59,A26&amp;" /*")</x:f>
        <x:v>0</x:v>
      </x:c>
      <x:c r="H26" s="14" t="str">
        <x:f aca="0">IF(G26&gt;0,"Cubierto","Sin cobertura")</x:f>
        <x:v>Sin cobertura</x:v>
      </x:c>
    </x:row>
    <x:row r="27" ht="30" hidden="0" customHeight="1">
      <x:c r="A27" s="15" t="s">
        <x:v>718</x:v>
      </x:c>
      <x:c r="B27" s="10" t="s">
        <x:v>719</x:v>
      </x:c>
      <x:c r="C27" s="10" t="s">
        <x:v>307</x:v>
      </x:c>
      <x:c r="D27" s="10" t="s">
        <x:v>720</x:v>
      </x:c>
      <x:c r="E27" s="10" t="s">
        <x:v>721</x:v>
      </x:c>
      <x:c r="F27" s="10" t="s">
        <x:v>683</x:v>
      </x:c>
      <x:c r="G27" s="11" t="n">
        <x:f aca="0">COUNTIF('MATRIZ GENERAL DE CASOS'!$C$5:$C$59,A27&amp;" /*")</x:f>
        <x:v>0</x:v>
      </x:c>
      <x:c r="H27" s="11" t="str">
        <x:f aca="0">IF(G27&gt;0,"Cubierto","Sin cobertura")</x:f>
        <x:v>Sin cobertura</x:v>
      </x:c>
    </x:row>
    <x:row r="28" ht="30" hidden="0" customHeight="1">
      <x:c r="A28" s="16" t="s">
        <x:v>722</x:v>
      </x:c>
      <x:c r="B28" s="13" t="s">
        <x:v>719</x:v>
      </x:c>
      <x:c r="C28" s="13" t="s">
        <x:v>307</x:v>
      </x:c>
      <x:c r="D28" s="13" t="s">
        <x:v>723</x:v>
      </x:c>
      <x:c r="E28" s="13" t="s">
        <x:v>721</x:v>
      </x:c>
      <x:c r="F28" s="13" t="s">
        <x:v>683</x:v>
      </x:c>
      <x:c r="G28" s="14" t="n">
        <x:f aca="0">COUNTIF('MATRIZ GENERAL DE CASOS'!$C$5:$C$59,A28&amp;" /*")</x:f>
        <x:v>0</x:v>
      </x:c>
      <x:c r="H28" s="14" t="str">
        <x:f aca="0">IF(G28&gt;0,"Cubierto","Sin cobertura")</x:f>
        <x:v>Sin cobertura</x:v>
      </x:c>
    </x:row>
    <x:row r="29" ht="30" hidden="0" customHeight="1">
      <x:c r="A29" s="15" t="s">
        <x:v>724</x:v>
      </x:c>
      <x:c r="B29" s="10" t="s">
        <x:v>680</x:v>
      </x:c>
      <x:c r="C29" s="10" t="s">
        <x:v>338</x:v>
      </x:c>
      <x:c r="D29" s="10" t="s">
        <x:v>725</x:v>
      </x:c>
      <x:c r="E29" s="10" t="s">
        <x:v>726</x:v>
      </x:c>
      <x:c r="F29" s="10" t="s">
        <x:v>683</x:v>
      </x:c>
      <x:c r="G29" s="11" t="n">
        <x:f aca="0">COUNTIF('MATRIZ GENERAL DE CASOS'!$C$5:$C$59,A29&amp;" /*")</x:f>
        <x:v>0</x:v>
      </x:c>
      <x:c r="H29" s="11" t="str">
        <x:f aca="0">IF(G29&gt;0,"Cubierto","Sin cobertura")</x:f>
        <x:v>Sin cobertura</x:v>
      </x:c>
    </x:row>
    <x:row r="30" ht="30" hidden="0" customHeight="1">
      <x:c r="A30" s="16" t="s">
        <x:v>727</x:v>
      </x:c>
      <x:c r="B30" s="13" t="s">
        <x:v>680</x:v>
      </x:c>
      <x:c r="C30" s="13" t="s">
        <x:v>338</x:v>
      </x:c>
      <x:c r="D30" s="13" t="s">
        <x:v>728</x:v>
      </x:c>
      <x:c r="E30" s="13" t="s">
        <x:v>726</x:v>
      </x:c>
      <x:c r="F30" s="13" t="s">
        <x:v>683</x:v>
      </x:c>
      <x:c r="G30" s="14" t="n">
        <x:f aca="0">COUNTIF('MATRIZ GENERAL DE CASOS'!$C$5:$C$59,A30&amp;" /*")</x:f>
        <x:v>0</x:v>
      </x:c>
      <x:c r="H30" s="14" t="str">
        <x:f aca="0">IF(G30&gt;0,"Cubierto","Sin cobertura")</x:f>
        <x:v>Sin cobertura</x:v>
      </x:c>
    </x:row>
    <x:row r="31" ht="30" hidden="0" customHeight="1">
      <x:c r="A31" s="15" t="s">
        <x:v>729</x:v>
      </x:c>
      <x:c r="B31" s="10" t="s">
        <x:v>680</x:v>
      </x:c>
      <x:c r="C31" s="10" t="s">
        <x:v>338</x:v>
      </x:c>
      <x:c r="D31" s="10" t="s">
        <x:v>730</x:v>
      </x:c>
      <x:c r="E31" s="10" t="s">
        <x:v>726</x:v>
      </x:c>
      <x:c r="F31" s="10" t="s">
        <x:v>683</x:v>
      </x:c>
      <x:c r="G31" s="11" t="n">
        <x:f aca="0">COUNTIF('MATRIZ GENERAL DE CASOS'!$C$5:$C$59,A31&amp;" /*")</x:f>
        <x:v>0</x:v>
      </x:c>
      <x:c r="H31" s="11" t="str">
        <x:f aca="0">IF(G31&gt;0,"Cubierto","Sin cobertura")</x:f>
        <x:v>Sin cobertura</x:v>
      </x:c>
    </x:row>
    <x:row r="32" ht="30" hidden="0" customHeight="1">
      <x:c r="A32" s="16" t="s">
        <x:v>731</x:v>
      </x:c>
      <x:c r="B32" s="13" t="s">
        <x:v>680</x:v>
      </x:c>
      <x:c r="C32" s="13" t="s">
        <x:v>370</x:v>
      </x:c>
      <x:c r="D32" s="13" t="s">
        <x:v>732</x:v>
      </x:c>
      <x:c r="E32" s="13" t="s">
        <x:v>733</x:v>
      </x:c>
      <x:c r="F32" s="13" t="s">
        <x:v>683</x:v>
      </x:c>
      <x:c r="G32" s="14" t="n">
        <x:f aca="0">COUNTIF('MATRIZ GENERAL DE CASOS'!$C$5:$C$59,A32&amp;" /*")</x:f>
        <x:v>0</x:v>
      </x:c>
      <x:c r="H32" s="14" t="str">
        <x:f aca="0">IF(G32&gt;0,"Cubierto","Sin cobertura")</x:f>
        <x:v>Sin cobertura</x:v>
      </x:c>
    </x:row>
    <x:row r="33" ht="30" hidden="0" customHeight="1">
      <x:c r="A33" s="15" t="s">
        <x:v>734</x:v>
      </x:c>
      <x:c r="B33" s="10" t="s">
        <x:v>680</x:v>
      </x:c>
      <x:c r="C33" s="10" t="s">
        <x:v>370</x:v>
      </x:c>
      <x:c r="D33" s="10" t="s">
        <x:v>735</x:v>
      </x:c>
      <x:c r="E33" s="10" t="s">
        <x:v>733</x:v>
      </x:c>
      <x:c r="F33" s="10" t="s">
        <x:v>683</x:v>
      </x:c>
      <x:c r="G33" s="11" t="n">
        <x:f aca="0">COUNTIF('MATRIZ GENERAL DE CASOS'!$C$5:$C$59,A33&amp;" /*")</x:f>
        <x:v>0</x:v>
      </x:c>
      <x:c r="H33" s="11" t="str">
        <x:f aca="0">IF(G33&gt;0,"Cubierto","Sin cobertura")</x:f>
        <x:v>Sin cobertura</x:v>
      </x:c>
    </x:row>
    <x:row r="34" ht="30" hidden="0" customHeight="1">
      <x:c r="A34" s="16" t="s">
        <x:v>736</x:v>
      </x:c>
      <x:c r="B34" s="13" t="s">
        <x:v>719</x:v>
      </x:c>
      <x:c r="C34" s="13" t="s">
        <x:v>392</x:v>
      </x:c>
      <x:c r="D34" s="13" t="s">
        <x:v>737</x:v>
      </x:c>
      <x:c r="E34" s="13" t="s">
        <x:v>738</x:v>
      </x:c>
      <x:c r="F34" s="13" t="s">
        <x:v>739</x:v>
      </x:c>
      <x:c r="G34" s="14" t="n">
        <x:f aca="0">COUNTIF('MATRIZ GENERAL DE CASOS'!$C$5:$C$59,A34&amp;" /*")</x:f>
        <x:v>0</x:v>
      </x:c>
      <x:c r="H34" s="14" t="str">
        <x:f aca="0">IF(G34&gt;0,"Cubierto","Sin cobertura")</x:f>
        <x:v>Sin cobertura</x:v>
      </x:c>
    </x:row>
    <x:row r="35" ht="30" hidden="0" customHeight="1">
      <x:c r="A35" s="15" t="s">
        <x:v>740</x:v>
      </x:c>
      <x:c r="B35" s="10" t="s">
        <x:v>680</x:v>
      </x:c>
      <x:c r="C35" s="10" t="s">
        <x:v>392</x:v>
      </x:c>
      <x:c r="D35" s="10" t="s">
        <x:v>741</x:v>
      </x:c>
      <x:c r="E35" s="10" t="s">
        <x:v>738</x:v>
      </x:c>
      <x:c r="F35" s="10" t="s">
        <x:v>739</x:v>
      </x:c>
      <x:c r="G35" s="11" t="n">
        <x:f aca="0">COUNTIF('MATRIZ GENERAL DE CASOS'!$C$5:$C$59,A35&amp;" /*")</x:f>
        <x:v>0</x:v>
      </x:c>
      <x:c r="H35" s="11" t="str">
        <x:f aca="0">IF(G35&gt;0,"Cubierto","Sin cobertura")</x:f>
        <x:v>Sin cobertura</x:v>
      </x:c>
    </x:row>
    <x:row r="36" ht="30" hidden="0" customHeight="1">
      <x:c r="A36" s="16" t="s">
        <x:v>742</x:v>
      </x:c>
      <x:c r="B36" s="13" t="s">
        <x:v>680</x:v>
      </x:c>
      <x:c r="C36" s="13" t="s">
        <x:v>392</x:v>
      </x:c>
      <x:c r="D36" s="13" t="s">
        <x:v>743</x:v>
      </x:c>
      <x:c r="E36" s="13" t="s">
        <x:v>738</x:v>
      </x:c>
      <x:c r="F36" s="13" t="s">
        <x:v>739</x:v>
      </x:c>
      <x:c r="G36" s="14" t="n">
        <x:f aca="0">COUNTIF('MATRIZ GENERAL DE CASOS'!$C$5:$C$59,A36&amp;" /*")</x:f>
        <x:v>0</x:v>
      </x:c>
      <x:c r="H36" s="14" t="str">
        <x:f aca="0">IF(G36&gt;0,"Cubierto","Sin cobertura")</x:f>
        <x:v>Sin cobertura</x:v>
      </x:c>
    </x:row>
    <x:row r="37" ht="30" hidden="0" customHeight="1">
      <x:c r="A37" s="15" t="s">
        <x:v>744</x:v>
      </x:c>
      <x:c r="B37" s="10" t="s">
        <x:v>680</x:v>
      </x:c>
      <x:c r="C37" s="10" t="s">
        <x:v>392</x:v>
      </x:c>
      <x:c r="D37" s="10" t="s">
        <x:v>745</x:v>
      </x:c>
      <x:c r="E37" s="10" t="s">
        <x:v>738</x:v>
      </x:c>
      <x:c r="F37" s="10" t="s">
        <x:v>739</x:v>
      </x:c>
      <x:c r="G37" s="11" t="n">
        <x:f aca="0">COUNTIF('MATRIZ GENERAL DE CASOS'!$C$5:$C$59,A37&amp;" /*")</x:f>
        <x:v>0</x:v>
      </x:c>
      <x:c r="H37" s="11" t="str">
        <x:f aca="0">IF(G37&gt;0,"Cubierto","Sin cobertura")</x:f>
        <x:v>Sin cobertura</x:v>
      </x:c>
    </x:row>
    <x:row r="38" ht="30" hidden="0" customHeight="1">
      <x:c r="A38" s="16" t="s">
        <x:v>746</x:v>
      </x:c>
      <x:c r="B38" s="13" t="s">
        <x:v>719</x:v>
      </x:c>
      <x:c r="C38" s="13" t="s">
        <x:v>426</x:v>
      </x:c>
      <x:c r="D38" s="13" t="s">
        <x:v>747</x:v>
      </x:c>
      <x:c r="E38" s="13" t="s">
        <x:v>748</x:v>
      </x:c>
      <x:c r="F38" s="13" t="s">
        <x:v>739</x:v>
      </x:c>
      <x:c r="G38" s="14" t="n">
        <x:f aca="0">COUNTIF('MATRIZ GENERAL DE CASOS'!$C$5:$C$59,A38&amp;" /*")</x:f>
        <x:v>0</x:v>
      </x:c>
      <x:c r="H38" s="14" t="str">
        <x:f aca="0">IF(G38&gt;0,"Cubierto","Sin cobertura")</x:f>
        <x:v>Sin cobertura</x:v>
      </x:c>
    </x:row>
    <x:row r="39" ht="30" hidden="0" customHeight="1">
      <x:c r="A39" s="15" t="s">
        <x:v>749</x:v>
      </x:c>
      <x:c r="B39" s="10" t="s">
        <x:v>719</x:v>
      </x:c>
      <x:c r="C39" s="10" t="s">
        <x:v>426</x:v>
      </x:c>
      <x:c r="D39" s="10" t="s">
        <x:v>750</x:v>
      </x:c>
      <x:c r="E39" s="10" t="s">
        <x:v>748</x:v>
      </x:c>
      <x:c r="F39" s="10" t="s">
        <x:v>739</x:v>
      </x:c>
      <x:c r="G39" s="11" t="n">
        <x:f aca="0">COUNTIF('MATRIZ GENERAL DE CASOS'!$C$5:$C$59,A39&amp;" /*")</x:f>
        <x:v>0</x:v>
      </x:c>
      <x:c r="H39" s="11" t="str">
        <x:f aca="0">IF(G39&gt;0,"Cubierto","Sin cobertura")</x:f>
        <x:v>Sin cobertura</x:v>
      </x:c>
    </x:row>
    <x:row r="40" ht="30" hidden="0" customHeight="1">
      <x:c r="A40" s="16" t="s">
        <x:v>751</x:v>
      </x:c>
      <x:c r="B40" s="13" t="s">
        <x:v>719</x:v>
      </x:c>
      <x:c r="C40" s="13" t="s">
        <x:v>426</x:v>
      </x:c>
      <x:c r="D40" s="13" t="s">
        <x:v>752</x:v>
      </x:c>
      <x:c r="E40" s="13" t="s">
        <x:v>748</x:v>
      </x:c>
      <x:c r="F40" s="13" t="s">
        <x:v>739</x:v>
      </x:c>
      <x:c r="G40" s="14" t="n">
        <x:f aca="0">COUNTIF('MATRIZ GENERAL DE CASOS'!$C$5:$C$59,A40&amp;" /*")</x:f>
        <x:v>0</x:v>
      </x:c>
      <x:c r="H40" s="14" t="str">
        <x:f aca="0">IF(G40&gt;0,"Cubierto","Sin cobertura")</x:f>
        <x:v>Sin cobertura</x:v>
      </x:c>
    </x:row>
    <x:row r="41" ht="30" hidden="0" customHeight="1">
      <x:c r="A41" s="15" t="s">
        <x:v>753</x:v>
      </x:c>
      <x:c r="B41" s="10" t="s">
        <x:v>680</x:v>
      </x:c>
      <x:c r="C41" s="10" t="s">
        <x:v>457</x:v>
      </x:c>
      <x:c r="D41" s="10" t="s">
        <x:v>754</x:v>
      </x:c>
      <x:c r="E41" s="10" t="s">
        <x:v>755</x:v>
      </x:c>
      <x:c r="F41" s="10" t="s">
        <x:v>683</x:v>
      </x:c>
      <x:c r="G41" s="11" t="n">
        <x:f aca="0">COUNTIF('MATRIZ GENERAL DE CASOS'!$C$5:$C$59,A41&amp;" /*")</x:f>
        <x:v>0</x:v>
      </x:c>
      <x:c r="H41" s="11" t="str">
        <x:f aca="0">IF(G41&gt;0,"Cubierto","Sin cobertura")</x:f>
        <x:v>Sin cobertura</x:v>
      </x:c>
    </x:row>
    <x:row r="42" ht="30" hidden="0" customHeight="1">
      <x:c r="A42" s="16" t="s">
        <x:v>756</x:v>
      </x:c>
      <x:c r="B42" s="13" t="s">
        <x:v>680</x:v>
      </x:c>
      <x:c r="C42" s="13" t="s">
        <x:v>457</x:v>
      </x:c>
      <x:c r="D42" s="13" t="s">
        <x:v>757</x:v>
      </x:c>
      <x:c r="E42" s="13" t="s">
        <x:v>755</x:v>
      </x:c>
      <x:c r="F42" s="13" t="s">
        <x:v>683</x:v>
      </x:c>
      <x:c r="G42" s="14" t="n">
        <x:f aca="0">COUNTIF('MATRIZ GENERAL DE CASOS'!$C$5:$C$59,A42&amp;" /*")</x:f>
        <x:v>0</x:v>
      </x:c>
      <x:c r="H42" s="14" t="str">
        <x:f aca="0">IF(G42&gt;0,"Cubierto","Sin cobertura")</x:f>
        <x:v>Sin cobertura</x:v>
      </x:c>
    </x:row>
    <x:row r="43" ht="30" hidden="0" customHeight="1">
      <x:c r="A43" s="15" t="s">
        <x:v>758</x:v>
      </x:c>
      <x:c r="B43" s="10" t="s">
        <x:v>680</x:v>
      </x:c>
      <x:c r="C43" s="10" t="s">
        <x:v>475</x:v>
      </x:c>
      <x:c r="D43" s="10" t="s">
        <x:v>759</x:v>
      </x:c>
      <x:c r="E43" s="10" t="s">
        <x:v>760</x:v>
      </x:c>
      <x:c r="F43" s="10" t="s">
        <x:v>761</x:v>
      </x:c>
      <x:c r="G43" s="11" t="n">
        <x:f aca="0">COUNTIF('MATRIZ GENERAL DE CASOS'!$C$5:$C$59,A43&amp;" /*")</x:f>
        <x:v>0</x:v>
      </x:c>
      <x:c r="H43" s="11" t="str">
        <x:f aca="0">IF(G43&gt;0,"Cubierto","Sin cobertura")</x:f>
        <x:v>Sin cobertura</x:v>
      </x:c>
    </x:row>
    <x:row r="44" ht="30" hidden="0" customHeight="1">
      <x:c r="A44" s="16" t="s">
        <x:v>762</x:v>
      </x:c>
      <x:c r="B44" s="13" t="s">
        <x:v>680</x:v>
      </x:c>
      <x:c r="C44" s="13" t="s">
        <x:v>475</x:v>
      </x:c>
      <x:c r="D44" s="13" t="s">
        <x:v>763</x:v>
      </x:c>
      <x:c r="E44" s="13" t="s">
        <x:v>760</x:v>
      </x:c>
      <x:c r="F44" s="13" t="s">
        <x:v>761</x:v>
      </x:c>
      <x:c r="G44" s="14" t="n">
        <x:f aca="0">COUNTIF('MATRIZ GENERAL DE CASOS'!$C$5:$C$59,A44&amp;" /*")</x:f>
        <x:v>0</x:v>
      </x:c>
      <x:c r="H44" s="14" t="str">
        <x:f aca="0">IF(G44&gt;0,"Cubierto","Sin cobertura")</x:f>
        <x:v>Sin cobertura</x:v>
      </x:c>
    </x:row>
    <x:row r="45" ht="30" hidden="0" customHeight="1">
      <x:c r="A45" s="15" t="s">
        <x:v>764</x:v>
      </x:c>
      <x:c r="B45" s="10" t="s">
        <x:v>680</x:v>
      </x:c>
      <x:c r="C45" s="10" t="s">
        <x:v>475</x:v>
      </x:c>
      <x:c r="D45" s="10" t="s">
        <x:v>765</x:v>
      </x:c>
      <x:c r="E45" s="10" t="s">
        <x:v>760</x:v>
      </x:c>
      <x:c r="F45" s="10" t="s">
        <x:v>761</x:v>
      </x:c>
      <x:c r="G45" s="11" t="n">
        <x:f aca="0">COUNTIF('MATRIZ GENERAL DE CASOS'!$C$5:$C$59,A45&amp;" /*")</x:f>
        <x:v>0</x:v>
      </x:c>
      <x:c r="H45" s="11" t="str">
        <x:f aca="0">IF(G45&gt;0,"Cubierto","Sin cobertura")</x:f>
        <x:v>Sin cobertura</x:v>
      </x:c>
    </x:row>
    <x:row r="46" ht="30" hidden="0" customHeight="1">
      <x:c r="A46" s="16" t="s">
        <x:v>766</x:v>
      </x:c>
      <x:c r="B46" s="13" t="s">
        <x:v>680</x:v>
      </x:c>
      <x:c r="C46" s="13" t="s">
        <x:v>475</x:v>
      </x:c>
      <x:c r="D46" s="13" t="s">
        <x:v>767</x:v>
      </x:c>
      <x:c r="E46" s="13" t="s">
        <x:v>760</x:v>
      </x:c>
      <x:c r="F46" s="13" t="s">
        <x:v>761</x:v>
      </x:c>
      <x:c r="G46" s="14" t="n">
        <x:f aca="0">COUNTIF('MATRIZ GENERAL DE CASOS'!$C$5:$C$59,A46&amp;" /*")</x:f>
        <x:v>0</x:v>
      </x:c>
      <x:c r="H46" s="14" t="str">
        <x:f aca="0">IF(G46&gt;0,"Cubierto","Sin cobertura")</x:f>
        <x:v>Sin cobertura</x:v>
      </x:c>
    </x:row>
    <x:row r="47" ht="15" hidden="0">
      <x:c r="A47" s="19" t="s">
        <x:v>768</x:v>
      </x:c>
      <x:c r="B47" s="19"/>
      <x:c r="C47" s="19"/>
      <x:c r="D47" s="19"/>
      <x:c r="E47" s="19"/>
      <x:c r="F47" s="19"/>
      <x:c r="G47" s="20" t="n">
        <x:f aca="0">SUM(G5:G46)</x:f>
        <x:v>0</x:v>
      </x:c>
      <x:c r="H47" s="20" t="str">
        <x:f aca="0">IF(G47=COUNTA('MATRIZ GENERAL DE CASOS'!$A$5:$A$59),"Consistente","Revisar")</x:f>
        <x:v>Revisar</x:v>
      </x:c>
    </x:row>
    <x:row r="49" ht="15" hidden="0">
      <x:c r="A49" s="17" t="s">
        <x:v>769</x:v>
      </x:c>
    </x:row>
    <x:row r="50" ht="15" hidden="0">
      <x:c r="A50" s="8" t="s">
        <x:v>566</x:v>
      </x:c>
      <x:c r="B50" s="8" t="s">
        <x:v>655</x:v>
      </x:c>
      <x:c r="C50" s="8" t="s">
        <x:v>770</x:v>
      </x:c>
      <x:c r="G50" s="8" t="s">
        <x:v>771</x:v>
      </x:c>
    </x:row>
    <x:row r="51" ht="15" hidden="0">
      <x:c r="A51" s="10" t="s">
        <x:v>772</x:v>
      </x:c>
      <x:c r="B51" s="10" t="s">
        <x:v>773</x:v>
      </x:c>
      <x:c r="C51" s="11" t="n">
        <x:f aca="0">COUNTIF($B$5:$B$46,A51&amp;" *")</x:f>
        <x:v>0</x:v>
      </x:c>
      <x:c r="G51" s="11" t="n">
        <x:f aca="0">COUNTIF('MATRIZ GENERAL DE CASOS'!$C$5:$C$59,"*/ "&amp;A51)</x:f>
        <x:v>0</x:v>
      </x:c>
    </x:row>
    <x:row r="52" ht="15" hidden="0">
      <x:c r="A52" s="10" t="s">
        <x:v>774</x:v>
      </x:c>
      <x:c r="B52" s="10" t="s">
        <x:v>775</x:v>
      </x:c>
      <x:c r="C52" s="11" t="n">
        <x:f aca="0">COUNTIF($B$5:$B$46,A52&amp;" *")</x:f>
        <x:v>0</x:v>
      </x:c>
      <x:c r="G52" s="11" t="n">
        <x:f aca="0">COUNTIF('MATRIZ GENERAL DE CASOS'!$C$5:$C$59,"*/ "&amp;A52)</x:f>
        <x:v>0</x:v>
      </x:c>
    </x:row>
    <x:row r="53" ht="15" hidden="0">
      <x:c r="A53" s="10" t="s">
        <x:v>776</x:v>
      </x:c>
      <x:c r="B53" s="10" t="s">
        <x:v>777</x:v>
      </x:c>
      <x:c r="C53" s="11" t="n">
        <x:f aca="0">COUNTIF($B$5:$B$46,A53&amp;" *")</x:f>
        <x:v>0</x:v>
      </x:c>
      <x:c r="G53" s="11" t="n">
        <x:f aca="0">COUNTIF('MATRIZ GENERAL DE CASOS'!$C$5:$C$59,"*/ "&amp;A53)</x:f>
        <x:v>0</x:v>
      </x:c>
    </x:row>
    <x:row r="54" ht="15" hidden="0">
      <x:c r="A54" s="10" t="s">
        <x:v>778</x:v>
      </x:c>
      <x:c r="B54" s="10" t="s">
        <x:v>779</x:v>
      </x:c>
      <x:c r="C54" s="11" t="n">
        <x:f aca="0">COUNTIF($B$5:$B$46,A54&amp;" *")</x:f>
        <x:v>0</x:v>
      </x:c>
      <x:c r="G54" s="11" t="n">
        <x:f aca="0">COUNTIF('MATRIZ GENERAL DE CASOS'!$C$5:$C$59,"*/ "&amp;A54)</x:f>
        <x:v>0</x:v>
      </x:c>
    </x:row>
    <x:row r="55" ht="23.850000381469727" hidden="0">
      <x:c r="A55" s="10" t="s">
        <x:v>780</x:v>
      </x:c>
      <x:c r="B55" s="10" t="s">
        <x:v>781</x:v>
      </x:c>
      <x:c r="C55" s="11" t="n">
        <x:f aca="0">COUNTIF($B$5:$B$46,"Provisional*")</x:f>
        <x:v>0</x:v>
      </x:c>
      <x:c r="G55" s="11" t="n">
        <x:f aca="0">COUNTIF('MATRIZ GENERAL DE CASOS'!$C$5:$C$59,"*provisional")</x:f>
        <x:v>0</x:v>
      </x:c>
    </x:row>
    <x:row r="57" ht="15" hidden="0">
      <x:c r="A57" s="6" t="s">
        <x:v>782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4" hidden="0" customWidth="1"/>
    <x:col min="2" max="2" width="12" hidden="0" customWidth="1"/>
    <x:col min="3" max="3" width="18" hidden="0" customWidth="1"/>
    <x:col min="4" max="5" width="40" hidden="0" customWidth="1"/>
    <x:col min="6" max="6" width="12" hidden="0" customWidth="1"/>
    <x:col min="7" max="8" width="14" hidden="0" customWidth="1"/>
    <x:col min="9" max="9" width="70" hidden="0" customWidth="1"/>
    <x:col min="10" max="10" width="14" hidden="0" customWidth="1"/>
    <x:col min="11" max="11" width="13" hidden="0" customWidth="1"/>
    <x:col min="12" max="12" width="55" hidden="0" customWidth="1"/>
    <x:col min="4" max="4" width="82" hidden="0" customWidth="1"/>
  </x:cols>
  <x:sheetData>
    <x:row r="1" ht="27.75" hidden="0" customHeight="1">
      <x:c r="A1" s="1" t="s">
        <x:v>783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19.5" hidden="0" customHeight="1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4" ht="45" hidden="0" customHeight="1">
      <x:c r="A4" s="8" t="s">
        <x:v>784</x:v>
      </x:c>
      <x:c r="B4" s="8" t="s">
        <x:v>40</x:v>
      </x:c>
      <x:c r="C4" s="8" t="s">
        <x:v>41</x:v>
      </x:c>
      <x:c r="D4" s="8" t="s">
        <x:v>785</x:v>
      </x:c>
      <x:c r="E4" s="8" t="s">
        <x:v>786</x:v>
      </x:c>
      <x:c r="F4" s="8" t="s">
        <x:v>787</x:v>
      </x:c>
      <x:c r="G4" s="8" t="s">
        <x:v>788</x:v>
      </x:c>
      <x:c r="H4" s="8" t="s">
        <x:v>789</x:v>
      </x:c>
      <x:c r="I4" s="8" t="s">
        <x:v>790</x:v>
      </x:c>
      <x:c r="J4" s="8" t="s">
        <x:v>59</x:v>
      </x:c>
      <x:c r="K4" s="8" t="s">
        <x:v>791</x:v>
      </x:c>
      <x:c r="L4" s="8" t="s">
        <x:v>58</x:v>
      </x:c>
    </x:row>
    <x:row r="5" ht="31.5" hidden="0" customHeight="1">
      <x:c r="A5" s="21" t="s">
        <x:v>792</x:v>
      </x:c>
      <x:c r="B5" s="21"/>
      <x:c r="C5" s="21"/>
      <x:c r="D5" s="21"/>
      <x:c r="E5" s="21"/>
      <x:c r="F5" s="21"/>
      <x:c r="G5" s="21"/>
      <x:c r="H5" s="21"/>
      <x:c r="I5" s="21"/>
      <x:c r="J5" s="21"/>
      <x:c r="K5" s="21"/>
      <x:c r="L5" s="21"/>
    </x:row>
    <x:row r="6" ht="235" hidden="0" customHeight="1">
      <x:c r="A6" s="26" t="str">
        <x:v>INC-001</x:v>
      </x:c>
      <x:c r="B6" s="26" t="str">
        <x:v>CP-008</x:v>
      </x:c>
      <x:c r="C6" s="26" t="str">
        <x:v>Usuarios y roles</x:v>
      </x:c>
      <x:c r="D6" s="26" t="str">
        <x:v>Brecha funcional. Esperado: El rol se actualiza y el usuario conserva el resto de sus datos. Obtenido: No existe ruta para editar el rol: HTTP 404
404 !== 200
 Posible causa: usuariosRoutes.js registra alta, lectura y cambio de estado; no registra edición de roles. Administración presenta roles como información.</x:v>
      </x:c>
      <x:c r="E6" s="26" t="str">
        <x:v>1. Abrir el usuario de prueba.
2. Cambiar el rol.
3. Guardar y consultar nuevamente.</x:v>
      </x:c>
      <x:c r="F6" s="26" t="str">
        <x:v>Media</x:v>
      </x:c>
      <x:c r="G6" s="26" t="str">
        <x:v>Abierto</x:v>
      </x:c>
      <x:c r="H6" s="37" t="d">
        <x:v>2026-10-18T19:09:53.597Z</x:v>
      </x:c>
      <x:c r="I6" s="26" t="str">
        <x:v>Definir el permiso y contrato de edición de rol; implementar endpoint autorizado y formulario con validación de rol existente, auditoría y control de sesiones. Repetir CP-008 y CP-009.</x:v>
      </x:c>
      <x:c r="J6" s="26" t="str">
        <x:v>Por asignar</x:v>
      </x:c>
      <x:c r="K6" s="26"/>
      <x:c r="L6" s="26" t="str">
        <x:v>ejecucion.json: CP-008; backend/src/routes/usuariosRoutes.js; frontend-app/src/pages/AdministracionPage.jsx</x:v>
      </x:c>
    </x:row>
    <x:row r="7" ht="235" hidden="0" customHeight="1">
      <x:c r="A7" s="26" t="str">
        <x:v>INC-002</x:v>
      </x:c>
      <x:c r="B7" s="26" t="str">
        <x:v>CP-010, CP-011, CP-013</x:v>
      </x:c>
      <x:c r="C7" s="26" t="str">
        <x:v>Categorías</x:v>
      </x:c>
      <x:c r="D7" s="26" t="str">
        <x:v>Brecha funcional. Esperado: La categoría se crea y se muestra en el listado. / El sistema rechaza ambos intentos con mensajes claros y no crea registros nuevos. / El nombre se actualiza y los productos asociados mantienen su relación. Obtenido: Creación de categoría no implementada: HTTP 404
404 !== 201
 / Ruta inexistente devuelve 404/404; no valida nombre vacío ni duplicado. / Actualización de categoría no implementada: HTTP 404
404 !== 200
 Posible causa: categoriasRoutes.js expone solo GET y categoriasController.js solo consulta. POST/PUT responden 404.</x:v>
      </x:c>
      <x:c r="E7" s="26" t="str">
        <x:v>1. Abrir el módulo de categorías.
2. Ingresar el nombre.
3. Guardar. / 1. Intentar guardar una categoría sin nombre.
2. Intentar guardar otra con el nombre 'Cervezas'. / 1. Seleccionar la categoría.
2. Cambiar el nombre.
3. Guardar y consultar.</x:v>
      </x:c>
      <x:c r="F7" s="26" t="str">
        <x:v>Media</x:v>
      </x:c>
      <x:c r="G7" s="26" t="str">
        <x:v>Abierto</x:v>
      </x:c>
      <x:c r="H7" s="37" t="d">
        <x:v>2026-10-18T19:09:54.572Z</x:v>
      </x:c>
      <x:c r="I7" s="26" t="str">
        <x:v>Implementar alta y edición de categorías con autorización, nombre obligatorio, normalización y unicidad. Preservar FK de productos. Repetir CP-010/011/012/013/014/016.</x:v>
      </x:c>
      <x:c r="J7" s="26" t="str">
        <x:v>Por asignar</x:v>
      </x:c>
      <x:c r="K7" s="26"/>
      <x:c r="L7" s="26" t="str">
        <x:v>ejecucion.json: CP-010, CP-011, CP-013; backend/src/routes/categoriasRoutes.js; backend/src/controllers/categoriasController.js</x:v>
      </x:c>
    </x:row>
    <x:row r="8" ht="235" hidden="0" customHeight="1">
      <x:c r="A8" s="26" t="str">
        <x:v>INC-003</x:v>
      </x:c>
      <x:c r="B8" s="26" t="str">
        <x:v>CP-026</x:v>
      </x:c>
      <x:c r="C8" s="26" t="str">
        <x:v>Mesas</x:v>
      </x:c>
      <x:c r="D8" s="26" t="str">
        <x:v>Criterio por acordar. Esperado: El sistema impide la asignación o exige la acción definida por la regla del negocio. Obtenido: Segundo pedido sobre mesa ocupada aceptado HTTP 201 sin acción diferenciada; contrato permite varios pedidos por visita, requiere acordar criterio. Posible causa: crearPedido permite múltiples pedidos en una misma visita; no rechaza mesa ocupada. sesiones-mesa.md documenta reutilización de visita y participante.</x:v>
      </x:c>
      <x:c r="E8" s="26" t="str">
        <x:v>1. Intentar asignar un nuevo pedido a la mesa ocupada.</x:v>
      </x:c>
      <x:c r="F8" s="26" t="str">
        <x:v>Media</x:v>
      </x:c>
      <x:c r="G8" s="26" t="str">
        <x:v>Abierto; pendiente definición funcional</x:v>
      </x:c>
      <x:c r="H8" s="37" t="d">
        <x:v>2026-10-18T19:09:56.877Z</x:v>
      </x:c>
      <x:c r="I8" s="26" t="str">
        <x:v>Confirmar regla con responsable funcional. Si se admite varios pedidos por visita, actualizar el criterio de CP-026 con la acción permitida; si se prohíbe, validar bajo bloqueo transaccional. Repetir CP-026 y regresión de sesiones de mesa.</x:v>
      </x:c>
      <x:c r="J8" s="26" t="str">
        <x:v>Por asignar</x:v>
      </x:c>
      <x:c r="K8" s="26"/>
      <x:c r="L8" s="26" t="str">
        <x:v>ejecucion.json: CP-026; backend/src/controllers/pedidosController.js; backend/docs/sesiones-mesa.md</x:v>
      </x:c>
    </x:row>
    <x:row r="9" ht="235" hidden="0" customHeight="1">
      <x:c r="A9" s="26" t="str">
        <x:v>INC-004</x:v>
      </x:c>
      <x:c r="B9" s="26" t="str">
        <x:v>CP-028</x:v>
      </x:c>
      <x:c r="C9" s="26" t="str">
        <x:v>Pedidos</x:v>
      </x:c>
      <x:c r="D9" s="26" t="str">
        <x:v>Criterio por acordar. Esperado: El sistema rechaza la operación e indica que se requiere al menos un producto. Obtenido: Se crea cuenta sin productos: HTTP 201, líneas=0. Contrato actual permite apertura vacía; requiere decisión de aceptación. Posible causa: POST /pedidos abre una cuenta y agrega ítems en una segunda operación. El campo items de la prueba no interviene en crearPedido.</x:v>
      </x:c>
      <x:c r="E9" s="26" t="str">
        <x:v>1. Intentar confirmar un pedido sin productos.</x:v>
      </x:c>
      <x:c r="F9" s="26" t="str">
        <x:v>Media</x:v>
      </x:c>
      <x:c r="G9" s="26" t="str">
        <x:v>Abierto; pendiente definición funcional</x:v>
      </x:c>
      <x:c r="H9" s="37" t="d">
        <x:v>2026-10-18T19:09:57.225Z</x:v>
      </x:c>
      <x:c r="I9" s="26" t="str">
        <x:v>Acordar apertura de cuenta frente a confirmación de pedido. Si se requiere confirmación con productos, diseñar operación atómica o impedir confirmar vacío sin bloquear apertura provisional. Repetir CP-028/027/055.</x:v>
      </x:c>
      <x:c r="J9" s="26" t="str">
        <x:v>Por asignar</x:v>
      </x:c>
      <x:c r="K9" s="26"/>
      <x:c r="L9" s="26" t="str">
        <x:v>ejecucion.json: CP-028; backend/src/controllers/pedidosController.js; frontend-app/src/components/PedidoForm.jsx</x:v>
      </x:c>
    </x:row>
    <x:row r="10" ht="235" hidden="0" customHeight="1">
      <x:c r="A10" s="26" t="str">
        <x:v>INC-005</x:v>
      </x:c>
      <x:c r="B10" s="26" t="str">
        <x:v>CP-040</x:v>
      </x:c>
      <x:c r="C10" s="26" t="str">
        <x:v>Clientes</x:v>
      </x:c>
      <x:c r="D10" s="26" t="str">
        <x:v>Defecto confirmado. Esperado: El sistema rechaza la operación e indica los campos con error. Obtenido: Teléfono alfabético aceptado con HTTP 201 y persistido en clientes.
201 !== 400
 Posible causa: contacto() solo valida email; telefono acepta cualquier texto no vacío hasta 20 caracteres. La API responde 201 y persiste abcdefghij.</x:v>
      </x:c>
      <x:c r="E10" s="26" t="str">
        <x:v>1. Intentar guardar con cada dato inválido.</x:v>
      </x:c>
      <x:c r="F10" s="26" t="str">
        <x:v>Media</x:v>
      </x:c>
      <x:c r="G10" s="26" t="str">
        <x:v>Abierto</x:v>
      </x:c>
      <x:c r="H10" s="37" t="d">
        <x:v>2026-10-18T19:09:58.166Z</x:v>
      </x:c>
      <x:c r="I10" s="26" t="str">
        <x:v>Acordar formatos permitidos (local/internacional), validar teléfono en backend y frontend y probar límites. No corregir datos existentes automáticamente. Repetir CP-040, CP-039 y CP-041.</x:v>
      </x:c>
      <x:c r="J10" s="26" t="str">
        <x:v>Por asignar</x:v>
      </x:c>
      <x:c r="K10" s="26"/>
      <x:c r="L10" s="26" t="str">
        <x:v>ejecucion.json: CP-040; backend/src/controllers/clientesController.js: contacto()</x:v>
      </x:c>
    </x:row>
    <x:row r="11" ht="235" hidden="0" customHeight="1">
      <x:c r="A11" s="26" t="str">
        <x:v>INC-006</x:v>
      </x:c>
      <x:c r="B11" s="26" t="str">
        <x:v>CP-042</x:v>
      </x:c>
      <x:c r="C11" s="26" t="str">
        <x:v>Ventas y caja</x:v>
      </x:c>
      <x:c r="D11" s="26" t="str">
        <x:v>Criterio por acordar. Esperado: Se genera una venta con total coherente con el pedido y el pago. Obtenido: Respuesta 200 con comprobante=null; el pago no genera venta/comprobante automáticamente. Requiere emisión explícita y decisión del criterio de aceptación. Posible causa: Un pago verificado cierra el pedido, pero GET comprobantePorPedido devuelve comprobante:null y puede_generar:true; POST /ventas/facturar emite explícitamente. Ventas se representa además como ingresos verificados en reportes.</x:v>
      </x:c>
      <x:c r="E11" s="26" t="str">
        <x:v>1. Completar el pago del pedido.
2. Consultar el registro de venta.</x:v>
      </x:c>
      <x:c r="F11" s="26" t="str">
        <x:v>Media</x:v>
      </x:c>
      <x:c r="G11" s="26" t="str">
        <x:v>Abierto; pendiente definición funcional</x:v>
      </x:c>
      <x:c r="H11" s="37" t="d">
        <x:v>2026-10-18T19:09:58.445Z</x:v>
      </x:c>
      <x:c r="I11" s="26" t="str">
        <x:v>Definir qué constituye venta y si la emisión debe ser automática. Si se exige automática, implementar emisión idempotente dentro del flujo acordado. Si es explícita, ajustar criterio y probar facturar. Repetir CP-042/043/045/055.</x:v>
      </x:c>
      <x:c r="J11" s="26" t="str">
        <x:v>Por asignar</x:v>
      </x:c>
      <x:c r="K11" s="26"/>
      <x:c r="L11" s="26" t="str">
        <x:v>ejecucion.json: CP-042; backend/src/services/comprobantesService.js; backend/src/controllers/pagosController.js; frontend-app/src/services/reportesService.js</x:v>
      </x:c>
    </x:row>
    <x:row r="12" ht="235" hidden="0" customHeight="1">
      <x:c r="A12" s="26" t="str">
        <x:v>INC-007</x:v>
      </x:c>
      <x:c r="B12" s="26" t="str">
        <x:v>CP-054</x:v>
      </x:c>
      <x:c r="C12" s="26" t="str">
        <x:v>Transversal</x:v>
      </x:c>
      <x:c r="D12" s="26" t="str">
        <x:v>Defecto confirmado. Esperado: Los elementos se reorganizan sin pérdida de contenido ni desbordamientos que impidan operar. Obtenido: Desbordamiento horizontal detectado: [{"name":"movil","route":"/dashboard","width":390,"scroll":548},{"name":"movil","route":"/operacion/mesas","width":390,"scroll":548},{"name":"movil","route":"/operacion/pedidos","width":390,"scroll":548},{"name":"movil","route":"/inventario","width":390,"scroll":548},{"name":"movil","route":"/juegos","width":390,"scroll":548},{"name":"movil","route":"/caja","width":390,"scroll":548},{"name":"movil","route":"/clientes","width":390,"scroll":548},{"name":"movil","route":"/reportes","width":390,"scroll":548},{"name":"movil","route":"/administracion","width":390,"scroll":548}]
9 !== 0
 Posible causa: Probable ancho fijo del sidebar y margen de admin-main en breakpoint &lt;=700px; contenido mínimo excede el área restante. Debe confirmarse elemento responsable con inspector.</x:v>
      </x:c>
      <x:c r="E12" s="26" t="str">
        <x:v>1. Abrir las pantallas principales.
2. Cambiar el tamaño de ventana o usar el modo dispositivo.</x:v>
      </x:c>
      <x:c r="F12" s="26" t="str">
        <x:v>Media</x:v>
      </x:c>
      <x:c r="G12" s="26" t="str">
        <x:v>Abierto</x:v>
      </x:c>
      <x:c r="H12" s="37" t="d">
        <x:v>2026-10-18T19:10:13.358Z</x:v>
      </x:c>
      <x:c r="I12" s="26" t="str">
        <x:v>Revisar menú móvil colapsable, anchos mínimos y tablas con scroll local. Repetir CP-054 en 1440x1000, 768x1024 y 390x844 y operar controles de pedidos, pagos e inventario.</x:v>
      </x:c>
      <x:c r="J12" s="26" t="str">
        <x:v>Por asignar</x:v>
      </x:c>
      <x:c r="K12" s="26"/>
      <x:c r="L12" s="26" t="str">
        <x:v>ejecucion.json: CP-054; frontend-app/src/layouts/AdminLayout/AdminLayout.css: media max-width 700px</x:v>
      </x:c>
    </x:row>
    <x:row r="13" ht="15" hidden="0">
      <x:c r="A13" s="10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</x:row>
    <x:row r="14" ht="15" hidden="0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</x:row>
    <x:row r="15" ht="15" hidden="0">
      <x:c r="A15" s="10"/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</x:row>
    <x:row r="16" ht="15" hidden="0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</x:row>
    <x:row r="17" ht="15" hidden="0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</x:row>
    <x:row r="18" ht="15" hidden="0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</x:row>
    <x:row r="19" ht="15" hidden="0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</x:row>
    <x:row r="20" ht="15" hidden="0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</x:row>
    <x:row r="21" ht="15" hidden="0">
      <x:c r="A21" s="10"/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</x:row>
    <x:row r="22" ht="15" hidden="0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</x:row>
    <x:row r="23" ht="15" hidden="0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</x:row>
    <x:row r="24" ht="15" hidden="0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</x:row>
    <x:row r="25" ht="15" hidden="0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</x:row>
    <x:row r="27" ht="15" hidden="0">
      <x:c r="A27" s="6" t="s">
        <x:v>793</x:v>
      </x:c>
    </x:row>
    <x:row r="28" ht="15" hidden="0">
      <x:c r="A28" s="6" t="s">
        <x:v>794</x:v>
      </x:c>
    </x:row>
  </x:sheetData>
  <x:mergeCells>
    <x:mergeCell ref="A1:L1"/>
    <x:mergeCell ref="A2:L2"/>
    <x:mergeCell ref="A5:L5"/>
  </x:mergeCells>
  <x:dataValidations count="2">
    <x:dataValidation type="list" errorStyle="stop" operator="between" allowBlank="1" showDropDown="0" showInputMessage="0" showErrorMessage="0" sqref="F6:F25">
      <x:formula1>"Alta,Media,Baja"</x:formula1>
      <x:formula2>0</x:formula2>
    </x:dataValidation>
    <x:dataValidation type="list" errorStyle="stop" operator="between" allowBlank="1" showDropDown="0" showInputMessage="0" showErrorMessage="0" sqref="G6:G25">
      <x:formula1>"Abierto,En corrección,Corregido,Verificado,Cerrado"</x:formula1>
      <x:formula2>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0" hidden="0" customWidth="1"/>
    <x:col min="2" max="6" width="16" hidden="0" customWidth="1"/>
    <x:col min="8" max="8" width="38" hidden="0" customWidth="1"/>
    <x:col min="9" max="9" width="15" hidden="0" customWidth="1"/>
    <x:col min="10" max="10" width="15" hidden="0" customWidth="1"/>
  </x:cols>
  <x:sheetData>
    <x:row r="1" ht="27.75" hidden="0" customHeight="1">
      <x:c r="A1" s="1" t="s">
        <x:v>795</x:v>
      </x:c>
      <x:c r="B1" s="1"/>
      <x:c r="C1" s="1"/>
      <x:c r="D1" s="1"/>
      <x:c r="E1" s="1"/>
      <x:c r="F1" s="1"/>
    </x:row>
    <x:row r="2" ht="19.5" hidden="0" customHeight="1">
      <x:c r="A2" s="2" t="s">
        <x:v>1</x:v>
      </x:c>
      <x:c r="B2" s="2"/>
      <x:c r="C2" s="2"/>
      <x:c r="D2" s="2"/>
      <x:c r="E2" s="2"/>
      <x:c r="F2" s="2"/>
    </x:row>
    <x:row r="4" ht="32" hidden="0" customHeight="1">
      <x:c r="A4" s="17" t="s">
        <x:v>796</x:v>
      </x:c>
      <x:c r="H4" s="41" t="str">
        <x:v>Estado</x:v>
      </x:c>
      <x:c r="I4" s="41" t="str">
        <x:v>Casos</x:v>
      </x:c>
      <x:c r="J4" s="41" t="str">
        <x:v>Porcentaje</x:v>
      </x:c>
    </x:row>
    <x:row r="5" ht="32" hidden="0" customHeight="1">
      <x:c r="A5" s="22" t="s">
        <x:v>797</x:v>
      </x:c>
      <x:c r="B5" s="11" t="n">
        <x:f aca="0">COUNTA('MATRIZ GENERAL DE CASOS'!$A$5:$A$59)</x:f>
        <x:v>55</x:v>
      </x:c>
      <x:c r="H5" s="42" t="str">
        <x:v>Aprobados</x:v>
      </x:c>
      <x:c r="I5" s="42" t="n">
        <x:f>B9</x:f>
        <x:v>44</x:v>
      </x:c>
      <x:c r="J5" s="43" t="n">
        <x:f>I5/$B$5</x:f>
        <x:v>0.8</x:v>
      </x:c>
    </x:row>
    <x:row r="6" ht="32" hidden="0" customHeight="1">
      <x:c r="A6" s="22" t="s">
        <x:v>798</x:v>
      </x:c>
      <x:c r="B6" s="11" t="n">
        <x:f aca="0">COUNTIF('MATRIZ GENERAL DE CASOS'!$O$5:$O$59,"No ejecutado")</x:f>
        <x:v>0</x:v>
      </x:c>
      <x:c r="H6" s="42" t="str">
        <x:v>Fallidos confirmados / brechas</x:v>
      </x:c>
      <x:c r="I6" s="42" t="n">
        <x:f>B11</x:f>
        <x:v>6</x:v>
      </x:c>
      <x:c r="J6" s="43" t="n">
        <x:f>I6/$B$5</x:f>
        <x:v>0.10909090909090909</x:v>
      </x:c>
    </x:row>
    <x:row r="7" ht="32" hidden="0" customHeight="1">
      <x:c r="A7" s="22" t="s">
        <x:v>799</x:v>
      </x:c>
      <x:c r="B7" s="11" t="n">
        <x:f aca="0">COUNTIF('MATRIZ GENERAL DE CASOS'!$O$5:$O$59,"En ejecución")</x:f>
        <x:v>0</x:v>
      </x:c>
      <x:c r="H7" s="42" t="str">
        <x:v>En seguimiento de criterio</x:v>
      </x:c>
      <x:c r="I7" s="42" t="n">
        <x:f>B10</x:f>
        <x:v>3</x:v>
      </x:c>
      <x:c r="J7" s="43" t="n">
        <x:f>I7/$B$5</x:f>
        <x:v>0.05454545454545454</x:v>
      </x:c>
    </x:row>
    <x:row r="8" ht="32" hidden="0" customHeight="1">
      <x:c r="A8" s="22" t="s">
        <x:v>800</x:v>
      </x:c>
      <x:c r="B8" s="11" t="n">
        <x:f aca="0">COUNTIF('MATRIZ GENERAL DE CASOS'!$O$5:$O$59,"Ejecutado")</x:f>
        <x:v>53</x:v>
      </x:c>
      <x:c r="H8" s="42" t="str">
        <x:v>Bloqueados</x:v>
      </x:c>
      <x:c r="I8" s="42" t="n">
        <x:f>COUNTIFS('MATRIZ GENERAL DE CASOS'!$O$5:$O$59,"Bloqueado")</x:f>
        <x:v>2</x:v>
      </x:c>
      <x:c r="J8" s="43" t="n">
        <x:f>I8/$B$5</x:f>
        <x:v>0.03636363636363636</x:v>
      </x:c>
    </x:row>
    <x:row r="9" ht="32" hidden="0" customHeight="1">
      <x:c r="A9" s="22" t="s">
        <x:v>801</x:v>
      </x:c>
      <x:c r="B9" s="11" t="n">
        <x:f aca="0">COUNTIF('MATRIZ GENERAL DE CASOS'!$P$5:$P$59,"Aprobado")</x:f>
        <x:v>44</x:v>
      </x:c>
      <x:c r="H9" s="42" t="str">
        <x:v>Total</x:v>
      </x:c>
      <x:c r="I9" s="42" t="n">
        <x:f>SUM(I5:I8)</x:f>
        <x:v>55</x:v>
      </x:c>
      <x:c r="J9" s="43" t="n">
        <x:f>I9/$B$5</x:f>
        <x:v>1</x:v>
      </x:c>
    </x:row>
    <x:row r="10" ht="15" hidden="0">
      <x:c r="A10" s="22" t="s">
        <x:v>802</x:v>
      </x:c>
      <x:c r="B10" s="11" t="n">
        <x:f aca="0">COUNTIF('MATRIZ GENERAL DE CASOS'!$P$5:$P$59,"En seguimiento")</x:f>
        <x:v>3</x:v>
      </x:c>
    </x:row>
    <x:row r="11" ht="44" hidden="0" customHeight="1">
      <x:c r="A11" s="22" t="s">
        <x:v>803</x:v>
      </x:c>
      <x:c r="B11" s="11" t="n">
        <x:f aca="0">COUNTIF('MATRIZ GENERAL DE CASOS'!$P$5:$P$59,"Rechazado")</x:f>
        <x:v>6</x:v>
      </x:c>
      <x:c r="H11" s="42" t="str">
        <x:v>Pendientes de corrección o decisión</x:v>
      </x:c>
      <x:c r="I11" s="42" t="n">
        <x:f>SUM(I6:I7)</x:f>
        <x:v>9</x:v>
      </x:c>
      <x:c r="J11" s="43" t="n">
        <x:f>I11/$B$5</x:f>
        <x:v>0.16363636363636364</x:v>
      </x:c>
    </x:row>
    <x:row r="12" ht="15" hidden="0">
      <x:c r="A12" s="22" t="s">
        <x:v>804</x:v>
      </x:c>
      <x:c r="B12" s="23" t="n">
        <x:f aca="0">IF(B5=0,0,B8/B5)</x:f>
        <x:v>0.9636363636363636</x:v>
      </x:c>
    </x:row>
    <x:row r="13" ht="85" hidden="0" customHeight="1">
      <x:c r="A13" s="17" t="s">
        <x:v>805</x:v>
      </x:c>
      <x:c r="H13" s="42" t="str">
        <x:v>Regresión auxiliar: 527 aprobadas; 45 omitidas; 0 fallos. No se suman a los 55 casos.</x:v>
      </x:c>
      <x:c r="I13"/>
      <x:c r="J13"/>
    </x:row>
    <x:row r="14" ht="43" hidden="0" customHeight="1">
      <x:c r="A14" s="8" t="s">
        <x:v>41</x:v>
      </x:c>
      <x:c r="B14" s="8" t="s">
        <x:v>771</x:v>
      </x:c>
      <x:c r="C14" s="8" t="s">
        <x:v>68</x:v>
      </x:c>
      <x:c r="D14" s="8" t="s">
        <x:v>86</x:v>
      </x:c>
      <x:c r="E14" s="8" t="s">
        <x:v>168</x:v>
      </x:c>
      <x:c r="F14" s="34" t="str">
        <x:v>Pendientes o bloqueados</x:v>
      </x:c>
    </x:row>
    <x:row r="15" ht="15" hidden="0">
      <x:c r="A15" s="24" t="s">
        <x:v>63</x:v>
      </x:c>
      <x:c r="B15" s="11" t="n">
        <x:f aca="0">COUNTIF('MATRIZ GENERAL DE CASOS'!$B$5:$B$59,A15)</x:f>
        <x:v>4</x:v>
      </x:c>
      <x:c r="C15" s="11" t="n">
        <x:f aca="0">COUNTIFS('MATRIZ GENERAL DE CASOS'!$B$5:$B$59,$A15,'MATRIZ GENERAL DE CASOS'!$G$5:$G$59,"Alta")</x:f>
        <x:v>3</x:v>
      </x:c>
      <x:c r="D15" s="11" t="n">
        <x:f aca="0">COUNTIFS('MATRIZ GENERAL DE CASOS'!$B$5:$B$59,$A15,'MATRIZ GENERAL DE CASOS'!$G$5:$G$59,"Media")</x:f>
        <x:v>1</x:v>
      </x:c>
      <x:c r="E15" s="11" t="n">
        <x:f aca="0">COUNTIFS('MATRIZ GENERAL DE CASOS'!$B$5:$B$59,$A15,'MATRIZ GENERAL DE CASOS'!$G$5:$G$59,"Baja")</x:f>
        <x:v>0</x:v>
      </x:c>
      <x:c r="F15" s="11" t="n">
        <x:f aca="0">COUNTIFS('MATRIZ GENERAL DE CASOS'!$B$5:$B$59,A15,'MATRIZ GENERAL DE CASOS'!$O$5:$O$59,"No ejecutado")+COUNTIFS('MATRIZ GENERAL DE CASOS'!$B$5:$B$59,A15,'MATRIZ GENERAL DE CASOS'!$O$5:$O$59,"Bloqueado")</x:f>
        <x:v>0</x:v>
      </x:c>
    </x:row>
    <x:row r="16" ht="15" hidden="0">
      <x:c r="A16" s="24" t="s">
        <x:v>101</x:v>
      </x:c>
      <x:c r="B16" s="11" t="n">
        <x:f aca="0">COUNTIF('MATRIZ GENERAL DE CASOS'!$B$5:$B$59,A16)</x:f>
        <x:v>5</x:v>
      </x:c>
      <x:c r="C16" s="11" t="n">
        <x:f aca="0">COUNTIFS('MATRIZ GENERAL DE CASOS'!$B$5:$B$59,$A16,'MATRIZ GENERAL DE CASOS'!$G$5:$G$59,"Alta")</x:f>
        <x:v>3</x:v>
      </x:c>
      <x:c r="D16" s="11" t="n">
        <x:f aca="0">COUNTIFS('MATRIZ GENERAL DE CASOS'!$B$5:$B$59,$A16,'MATRIZ GENERAL DE CASOS'!$G$5:$G$59,"Media")</x:f>
        <x:v>2</x:v>
      </x:c>
      <x:c r="E16" s="11" t="n">
        <x:f aca="0">COUNTIFS('MATRIZ GENERAL DE CASOS'!$B$5:$B$59,$A16,'MATRIZ GENERAL DE CASOS'!$G$5:$G$59,"Baja")</x:f>
        <x:v>0</x:v>
      </x:c>
      <x:c r="F16" s="11" t="n">
        <x:f aca="0">COUNTIFS('MATRIZ GENERAL DE CASOS'!$B$5:$B$59,A16,'MATRIZ GENERAL DE CASOS'!$O$5:$O$59,"No ejecutado")+COUNTIFS('MATRIZ GENERAL DE CASOS'!$B$5:$B$59,A16,'MATRIZ GENERAL DE CASOS'!$O$5:$O$59,"Bloqueado")</x:f>
        <x:v>0</x:v>
      </x:c>
    </x:row>
    <x:row r="17" ht="15" hidden="0">
      <x:c r="A17" s="24" t="s">
        <x:v>141</x:v>
      </x:c>
      <x:c r="B17" s="11" t="n">
        <x:f aca="0">COUNTIF('MATRIZ GENERAL DE CASOS'!$B$5:$B$59,A17)</x:f>
        <x:v>4</x:v>
      </x:c>
      <x:c r="C17" s="11" t="n">
        <x:f aca="0">COUNTIFS('MATRIZ GENERAL DE CASOS'!$B$5:$B$59,$A17,'MATRIZ GENERAL DE CASOS'!$G$5:$G$59,"Alta")</x:f>
        <x:v>0</x:v>
      </x:c>
      <x:c r="D17" s="11" t="n">
        <x:f aca="0">COUNTIFS('MATRIZ GENERAL DE CASOS'!$B$5:$B$59,$A17,'MATRIZ GENERAL DE CASOS'!$G$5:$G$59,"Media")</x:f>
        <x:v>3</x:v>
      </x:c>
      <x:c r="E17" s="11" t="n">
        <x:f aca="0">COUNTIFS('MATRIZ GENERAL DE CASOS'!$B$5:$B$59,$A17,'MATRIZ GENERAL DE CASOS'!$G$5:$G$59,"Baja")</x:f>
        <x:v>1</x:v>
      </x:c>
      <x:c r="F17" s="11" t="n">
        <x:f aca="0">COUNTIFS('MATRIZ GENERAL DE CASOS'!$B$5:$B$59,A17,'MATRIZ GENERAL DE CASOS'!$O$5:$O$59,"No ejecutado")+COUNTIFS('MATRIZ GENERAL DE CASOS'!$B$5:$B$59,A17,'MATRIZ GENERAL DE CASOS'!$O$5:$O$59,"Bloqueado")</x:f>
        <x:v>0</x:v>
      </x:c>
    </x:row>
    <x:row r="18" ht="15" hidden="0">
      <x:c r="A18" s="24" t="s">
        <x:v>174</x:v>
      </x:c>
      <x:c r="B18" s="11" t="n">
        <x:f aca="0">COUNTIF('MATRIZ GENERAL DE CASOS'!$B$5:$B$59,A18)</x:f>
        <x:v>5</x:v>
      </x:c>
      <x:c r="C18" s="11" t="n">
        <x:f aca="0">COUNTIFS('MATRIZ GENERAL DE CASOS'!$B$5:$B$59,$A18,'MATRIZ GENERAL DE CASOS'!$G$5:$G$59,"Alta")</x:f>
        <x:v>2</x:v>
      </x:c>
      <x:c r="D18" s="11" t="n">
        <x:f aca="0">COUNTIFS('MATRIZ GENERAL DE CASOS'!$B$5:$B$59,$A18,'MATRIZ GENERAL DE CASOS'!$G$5:$G$59,"Media")</x:f>
        <x:v>3</x:v>
      </x:c>
      <x:c r="E18" s="11" t="n">
        <x:f aca="0">COUNTIFS('MATRIZ GENERAL DE CASOS'!$B$5:$B$59,$A18,'MATRIZ GENERAL DE CASOS'!$G$5:$G$59,"Baja")</x:f>
        <x:v>0</x:v>
      </x:c>
      <x:c r="F18" s="11" t="n">
        <x:f aca="0">COUNTIFS('MATRIZ GENERAL DE CASOS'!$B$5:$B$59,A18,'MATRIZ GENERAL DE CASOS'!$O$5:$O$59,"No ejecutado")+COUNTIFS('MATRIZ GENERAL DE CASOS'!$B$5:$B$59,A18,'MATRIZ GENERAL DE CASOS'!$O$5:$O$59,"Bloqueado")</x:f>
        <x:v>0</x:v>
      </x:c>
    </x:row>
    <x:row r="19" ht="15" hidden="0">
      <x:c r="A19" s="24" t="s">
        <x:v>213</x:v>
      </x:c>
      <x:c r="B19" s="11" t="n">
        <x:f aca="0">COUNTIF('MATRIZ GENERAL DE CASOS'!$B$5:$B$59,A19)</x:f>
        <x:v>5</x:v>
      </x:c>
      <x:c r="C19" s="11" t="n">
        <x:f aca="0">COUNTIFS('MATRIZ GENERAL DE CASOS'!$B$5:$B$59,$A19,'MATRIZ GENERAL DE CASOS'!$G$5:$G$59,"Alta")</x:f>
        <x:v>4</x:v>
      </x:c>
      <x:c r="D19" s="11" t="n">
        <x:f aca="0">COUNTIFS('MATRIZ GENERAL DE CASOS'!$B$5:$B$59,$A19,'MATRIZ GENERAL DE CASOS'!$G$5:$G$59,"Media")</x:f>
        <x:v>1</x:v>
      </x:c>
      <x:c r="E19" s="11" t="n">
        <x:f aca="0">COUNTIFS('MATRIZ GENERAL DE CASOS'!$B$5:$B$59,$A19,'MATRIZ GENERAL DE CASOS'!$G$5:$G$59,"Baja")</x:f>
        <x:v>0</x:v>
      </x:c>
      <x:c r="F19" s="11" t="n">
        <x:f aca="0">COUNTIFS('MATRIZ GENERAL DE CASOS'!$B$5:$B$59,A19,'MATRIZ GENERAL DE CASOS'!$O$5:$O$59,"No ejecutado")+COUNTIFS('MATRIZ GENERAL DE CASOS'!$B$5:$B$59,A19,'MATRIZ GENERAL DE CASOS'!$O$5:$O$59,"Bloqueado")</x:f>
        <x:v>0</x:v>
      </x:c>
    </x:row>
    <x:row r="20" ht="15" hidden="0">
      <x:c r="A20" s="24" t="s">
        <x:v>251</x:v>
      </x:c>
      <x:c r="B20" s="11" t="n">
        <x:f aca="0">COUNTIF('MATRIZ GENERAL DE CASOS'!$B$5:$B$59,A20)</x:f>
        <x:v>3</x:v>
      </x:c>
      <x:c r="C20" s="11" t="n">
        <x:f aca="0">COUNTIFS('MATRIZ GENERAL DE CASOS'!$B$5:$B$59,$A20,'MATRIZ GENERAL DE CASOS'!$G$5:$G$59,"Alta")</x:f>
        <x:v>2</x:v>
      </x:c>
      <x:c r="D20" s="11" t="n">
        <x:f aca="0">COUNTIFS('MATRIZ GENERAL DE CASOS'!$B$5:$B$59,$A20,'MATRIZ GENERAL DE CASOS'!$G$5:$G$59,"Media")</x:f>
        <x:v>1</x:v>
      </x:c>
      <x:c r="E20" s="11" t="n">
        <x:f aca="0">COUNTIFS('MATRIZ GENERAL DE CASOS'!$B$5:$B$59,$A20,'MATRIZ GENERAL DE CASOS'!$G$5:$G$59,"Baja")</x:f>
        <x:v>0</x:v>
      </x:c>
      <x:c r="F20" s="11" t="n">
        <x:f aca="0">COUNTIFS('MATRIZ GENERAL DE CASOS'!$B$5:$B$59,A20,'MATRIZ GENERAL DE CASOS'!$O$5:$O$59,"No ejecutado")+COUNTIFS('MATRIZ GENERAL DE CASOS'!$B$5:$B$59,A20,'MATRIZ GENERAL DE CASOS'!$O$5:$O$59,"Bloqueado")</x:f>
        <x:v>0</x:v>
      </x:c>
    </x:row>
    <x:row r="21" ht="15" hidden="0">
      <x:c r="A21" s="24" t="s">
        <x:v>275</x:v>
      </x:c>
      <x:c r="B21" s="11" t="n">
        <x:f aca="0">COUNTIF('MATRIZ GENERAL DE CASOS'!$B$5:$B$59,A21)</x:f>
        <x:v>4</x:v>
      </x:c>
      <x:c r="C21" s="11" t="n">
        <x:f aca="0">COUNTIFS('MATRIZ GENERAL DE CASOS'!$B$5:$B$59,$A21,'MATRIZ GENERAL DE CASOS'!$G$5:$G$59,"Alta")</x:f>
        <x:v>2</x:v>
      </x:c>
      <x:c r="D21" s="11" t="n">
        <x:f aca="0">COUNTIFS('MATRIZ GENERAL DE CASOS'!$B$5:$B$59,$A21,'MATRIZ GENERAL DE CASOS'!$G$5:$G$59,"Media")</x:f>
        <x:v>2</x:v>
      </x:c>
      <x:c r="E21" s="11" t="n">
        <x:f aca="0">COUNTIFS('MATRIZ GENERAL DE CASOS'!$B$5:$B$59,$A21,'MATRIZ GENERAL DE CASOS'!$G$5:$G$59,"Baja")</x:f>
        <x:v>0</x:v>
      </x:c>
      <x:c r="F21" s="11" t="n">
        <x:f aca="0">COUNTIFS('MATRIZ GENERAL DE CASOS'!$B$5:$B$59,A21,'MATRIZ GENERAL DE CASOS'!$O$5:$O$59,"No ejecutado")+COUNTIFS('MATRIZ GENERAL DE CASOS'!$B$5:$B$59,A21,'MATRIZ GENERAL DE CASOS'!$O$5:$O$59,"Bloqueado")</x:f>
        <x:v>0</x:v>
      </x:c>
    </x:row>
    <x:row r="22" ht="15" hidden="0">
      <x:c r="A22" s="24" t="s">
        <x:v>307</x:v>
      </x:c>
      <x:c r="B22" s="11" t="n">
        <x:f aca="0">COUNTIF('MATRIZ GENERAL DE CASOS'!$B$5:$B$59,A22)</x:f>
        <x:v>4</x:v>
      </x:c>
      <x:c r="C22" s="11" t="n">
        <x:f aca="0">COUNTIFS('MATRIZ GENERAL DE CASOS'!$B$5:$B$59,$A22,'MATRIZ GENERAL DE CASOS'!$G$5:$G$59,"Alta")</x:f>
        <x:v>2</x:v>
      </x:c>
      <x:c r="D22" s="11" t="n">
        <x:f aca="0">COUNTIFS('MATRIZ GENERAL DE CASOS'!$B$5:$B$59,$A22,'MATRIZ GENERAL DE CASOS'!$G$5:$G$59,"Media")</x:f>
        <x:v>2</x:v>
      </x:c>
      <x:c r="E22" s="11" t="n">
        <x:f aca="0">COUNTIFS('MATRIZ GENERAL DE CASOS'!$B$5:$B$59,$A22,'MATRIZ GENERAL DE CASOS'!$G$5:$G$59,"Baja")</x:f>
        <x:v>0</x:v>
      </x:c>
      <x:c r="F22" s="11" t="n">
        <x:f aca="0">COUNTIFS('MATRIZ GENERAL DE CASOS'!$B$5:$B$59,A22,'MATRIZ GENERAL DE CASOS'!$O$5:$O$59,"No ejecutado")+COUNTIFS('MATRIZ GENERAL DE CASOS'!$B$5:$B$59,A22,'MATRIZ GENERAL DE CASOS'!$O$5:$O$59,"Bloqueado")</x:f>
        <x:v>0</x:v>
      </x:c>
    </x:row>
    <x:row r="23" ht="15" hidden="0">
      <x:c r="A23" s="24" t="s">
        <x:v>338</x:v>
      </x:c>
      <x:c r="B23" s="11" t="n">
        <x:f aca="0">COUNTIF('MATRIZ GENERAL DE CASOS'!$B$5:$B$59,A23)</x:f>
        <x:v>4</x:v>
      </x:c>
      <x:c r="C23" s="11" t="n">
        <x:f aca="0">COUNTIFS('MATRIZ GENERAL DE CASOS'!$B$5:$B$59,$A23,'MATRIZ GENERAL DE CASOS'!$G$5:$G$59,"Alta")</x:f>
        <x:v>1</x:v>
      </x:c>
      <x:c r="D23" s="11" t="n">
        <x:f aca="0">COUNTIFS('MATRIZ GENERAL DE CASOS'!$B$5:$B$59,$A23,'MATRIZ GENERAL DE CASOS'!$G$5:$G$59,"Media")</x:f>
        <x:v>3</x:v>
      </x:c>
      <x:c r="E23" s="11" t="n">
        <x:f aca="0">COUNTIFS('MATRIZ GENERAL DE CASOS'!$B$5:$B$59,$A23,'MATRIZ GENERAL DE CASOS'!$G$5:$G$59,"Baja")</x:f>
        <x:v>0</x:v>
      </x:c>
      <x:c r="F23" s="11" t="n">
        <x:f aca="0">COUNTIFS('MATRIZ GENERAL DE CASOS'!$B$5:$B$59,A23,'MATRIZ GENERAL DE CASOS'!$O$5:$O$59,"No ejecutado")+COUNTIFS('MATRIZ GENERAL DE CASOS'!$B$5:$B$59,A23,'MATRIZ GENERAL DE CASOS'!$O$5:$O$59,"Bloqueado")</x:f>
        <x:v>0</x:v>
      </x:c>
    </x:row>
    <x:row r="24" ht="15" hidden="0">
      <x:c r="A24" s="24" t="s">
        <x:v>370</x:v>
      </x:c>
      <x:c r="B24" s="11" t="n">
        <x:f aca="0">COUNTIF('MATRIZ GENERAL DE CASOS'!$B$5:$B$59,A24)</x:f>
        <x:v>3</x:v>
      </x:c>
      <x:c r="C24" s="11" t="n">
        <x:f aca="0">COUNTIFS('MATRIZ GENERAL DE CASOS'!$B$5:$B$59,$A24,'MATRIZ GENERAL DE CASOS'!$G$5:$G$59,"Alta")</x:f>
        <x:v>0</x:v>
      </x:c>
      <x:c r="D24" s="11" t="n">
        <x:f aca="0">COUNTIFS('MATRIZ GENERAL DE CASOS'!$B$5:$B$59,$A24,'MATRIZ GENERAL DE CASOS'!$G$5:$G$59,"Media")</x:f>
        <x:v>2</x:v>
      </x:c>
      <x:c r="E24" s="11" t="n">
        <x:f aca="0">COUNTIFS('MATRIZ GENERAL DE CASOS'!$B$5:$B$59,$A24,'MATRIZ GENERAL DE CASOS'!$G$5:$G$59,"Baja")</x:f>
        <x:v>1</x:v>
      </x:c>
      <x:c r="F24" s="11" t="n">
        <x:f aca="0">COUNTIFS('MATRIZ GENERAL DE CASOS'!$B$5:$B$59,A24,'MATRIZ GENERAL DE CASOS'!$O$5:$O$59,"No ejecutado")+COUNTIFS('MATRIZ GENERAL DE CASOS'!$B$5:$B$59,A24,'MATRIZ GENERAL DE CASOS'!$O$5:$O$59,"Bloqueado")</x:f>
        <x:v>0</x:v>
      </x:c>
    </x:row>
    <x:row r="25" ht="15" hidden="0">
      <x:c r="A25" s="24" t="s">
        <x:v>392</x:v>
      </x:c>
      <x:c r="B25" s="11" t="n">
        <x:f aca="0">COUNTIF('MATRIZ GENERAL DE CASOS'!$B$5:$B$59,A25)</x:f>
        <x:v>4</x:v>
      </x:c>
      <x:c r="C25" s="11" t="n">
        <x:f aca="0">COUNTIFS('MATRIZ GENERAL DE CASOS'!$B$5:$B$59,$A25,'MATRIZ GENERAL DE CASOS'!$G$5:$G$59,"Alta")</x:f>
        <x:v>2</x:v>
      </x:c>
      <x:c r="D25" s="11" t="n">
        <x:f aca="0">COUNTIFS('MATRIZ GENERAL DE CASOS'!$B$5:$B$59,$A25,'MATRIZ GENERAL DE CASOS'!$G$5:$G$59,"Media")</x:f>
        <x:v>1</x:v>
      </x:c>
      <x:c r="E25" s="11" t="n">
        <x:f aca="0">COUNTIFS('MATRIZ GENERAL DE CASOS'!$B$5:$B$59,$A25,'MATRIZ GENERAL DE CASOS'!$G$5:$G$59,"Baja")</x:f>
        <x:v>1</x:v>
      </x:c>
      <x:c r="F25" s="11" t="n">
        <x:f aca="0">COUNTIFS('MATRIZ GENERAL DE CASOS'!$B$5:$B$59,A25,'MATRIZ GENERAL DE CASOS'!$O$5:$O$59,"No ejecutado")+COUNTIFS('MATRIZ GENERAL DE CASOS'!$B$5:$B$59,A25,'MATRIZ GENERAL DE CASOS'!$O$5:$O$59,"Bloqueado")</x:f>
        <x:v>1</x:v>
      </x:c>
    </x:row>
    <x:row r="26" ht="15" hidden="0">
      <x:c r="A26" s="24" t="s">
        <x:v>426</x:v>
      </x:c>
      <x:c r="B26" s="11" t="n">
        <x:f aca="0">COUNTIF('MATRIZ GENERAL DE CASOS'!$B$5:$B$59,A26)</x:f>
        <x:v>4</x:v>
      </x:c>
      <x:c r="C26" s="11" t="n">
        <x:f aca="0">COUNTIFS('MATRIZ GENERAL DE CASOS'!$B$5:$B$59,$A26,'MATRIZ GENERAL DE CASOS'!$G$5:$G$59,"Alta")</x:f>
        <x:v>3</x:v>
      </x:c>
      <x:c r="D26" s="11" t="n">
        <x:f aca="0">COUNTIFS('MATRIZ GENERAL DE CASOS'!$B$5:$B$59,$A26,'MATRIZ GENERAL DE CASOS'!$G$5:$G$59,"Media")</x:f>
        <x:v>1</x:v>
      </x:c>
      <x:c r="E26" s="11" t="n">
        <x:f aca="0">COUNTIFS('MATRIZ GENERAL DE CASOS'!$B$5:$B$59,$A26,'MATRIZ GENERAL DE CASOS'!$G$5:$G$59,"Baja")</x:f>
        <x:v>0</x:v>
      </x:c>
      <x:c r="F26" s="11" t="n">
        <x:f aca="0">COUNTIFS('MATRIZ GENERAL DE CASOS'!$B$5:$B$59,A26,'MATRIZ GENERAL DE CASOS'!$O$5:$O$59,"No ejecutado")+COUNTIFS('MATRIZ GENERAL DE CASOS'!$B$5:$B$59,A26,'MATRIZ GENERAL DE CASOS'!$O$5:$O$59,"Bloqueado")</x:f>
        <x:v>0</x:v>
      </x:c>
    </x:row>
    <x:row r="27" ht="15" hidden="0">
      <x:c r="A27" s="24" t="s">
        <x:v>457</x:v>
      </x:c>
      <x:c r="B27" s="11" t="n">
        <x:f aca="0">COUNTIF('MATRIZ GENERAL DE CASOS'!$B$5:$B$59,A27)</x:f>
        <x:v>2</x:v>
      </x:c>
      <x:c r="C27" s="11" t="n">
        <x:f aca="0">COUNTIFS('MATRIZ GENERAL DE CASOS'!$B$5:$B$59,$A27,'MATRIZ GENERAL DE CASOS'!$G$5:$G$59,"Alta")</x:f>
        <x:v>0</x:v>
      </x:c>
      <x:c r="D27" s="11" t="n">
        <x:f aca="0">COUNTIFS('MATRIZ GENERAL DE CASOS'!$B$5:$B$59,$A27,'MATRIZ GENERAL DE CASOS'!$G$5:$G$59,"Media")</x:f>
        <x:v>2</x:v>
      </x:c>
      <x:c r="E27" s="11" t="n">
        <x:f aca="0">COUNTIFS('MATRIZ GENERAL DE CASOS'!$B$5:$B$59,$A27,'MATRIZ GENERAL DE CASOS'!$G$5:$G$59,"Baja")</x:f>
        <x:v>0</x:v>
      </x:c>
      <x:c r="F27" s="11" t="n">
        <x:f aca="0">COUNTIFS('MATRIZ GENERAL DE CASOS'!$B$5:$B$59,A27,'MATRIZ GENERAL DE CASOS'!$O$5:$O$59,"No ejecutado")+COUNTIFS('MATRIZ GENERAL DE CASOS'!$B$5:$B$59,A27,'MATRIZ GENERAL DE CASOS'!$O$5:$O$59,"Bloqueado")</x:f>
        <x:v>0</x:v>
      </x:c>
    </x:row>
    <x:row r="28" ht="15" hidden="0">
      <x:c r="A28" s="24" t="s">
        <x:v>475</x:v>
      </x:c>
      <x:c r="B28" s="11" t="n">
        <x:f aca="0">COUNTIF('MATRIZ GENERAL DE CASOS'!$B$5:$B$59,A28)</x:f>
        <x:v>4</x:v>
      </x:c>
      <x:c r="C28" s="11" t="n">
        <x:f aca="0">COUNTIFS('MATRIZ GENERAL DE CASOS'!$B$5:$B$59,$A28,'MATRIZ GENERAL DE CASOS'!$G$5:$G$59,"Alta")</x:f>
        <x:v>2</x:v>
      </x:c>
      <x:c r="D28" s="11" t="n">
        <x:f aca="0">COUNTIFS('MATRIZ GENERAL DE CASOS'!$B$5:$B$59,$A28,'MATRIZ GENERAL DE CASOS'!$G$5:$G$59,"Media")</x:f>
        <x:v>2</x:v>
      </x:c>
      <x:c r="E28" s="11" t="n">
        <x:f aca="0">COUNTIFS('MATRIZ GENERAL DE CASOS'!$B$5:$B$59,$A28,'MATRIZ GENERAL DE CASOS'!$G$5:$G$59,"Baja")</x:f>
        <x:v>0</x:v>
      </x:c>
      <x:c r="F28" s="11" t="n">
        <x:f aca="0">COUNTIFS('MATRIZ GENERAL DE CASOS'!$B$5:$B$59,A28,'MATRIZ GENERAL DE CASOS'!$O$5:$O$59,"No ejecutado")+COUNTIFS('MATRIZ GENERAL DE CASOS'!$B$5:$B$59,A28,'MATRIZ GENERAL DE CASOS'!$O$5:$O$59,"Bloqueado")</x:f>
        <x:v>1</x:v>
      </x:c>
    </x:row>
    <x:row r="29" ht="15" hidden="0">
      <x:c r="A29" s="19" t="s">
        <x:v>768</x:v>
      </x:c>
      <x:c r="B29" s="20" t="n">
        <x:f aca="0">SUM(B15:B28)</x:f>
        <x:v>55</x:v>
      </x:c>
      <x:c r="C29" s="20" t="n">
        <x:f aca="0">SUM(C15:C28)</x:f>
        <x:v>26</x:v>
      </x:c>
      <x:c r="D29" s="20" t="n">
        <x:f aca="0">SUM(D15:D28)</x:f>
        <x:v>26</x:v>
      </x:c>
      <x:c r="E29" s="20" t="n">
        <x:f aca="0">SUM(E15:E28)</x:f>
        <x:v>3</x:v>
      </x:c>
      <x:c r="F29" s="20" t="n">
        <x:f aca="0">SUM(F15:F28)</x:f>
        <x:v>2</x:v>
      </x:c>
    </x:row>
    <x:row r="31" ht="15" hidden="0">
      <x:c r="A31" s="17" t="s">
        <x:v>806</x:v>
      </x:c>
    </x:row>
    <x:row r="32" ht="15" hidden="0" customHeight="1">
      <x:c r="A32" s="8" t="s">
        <x:v>807</x:v>
      </x:c>
      <x:c r="B32" s="8"/>
      <x:c r="C32" s="8"/>
      <x:c r="D32" s="8"/>
      <x:c r="E32" s="8" t="s">
        <x:v>808</x:v>
      </x:c>
      <x:c r="F32" s="8" t="s">
        <x:v>809</x:v>
      </x:c>
    </x:row>
    <x:row r="33" ht="30" hidden="0" customHeight="1">
      <x:c r="A33" s="10" t="s">
        <x:v>810</x:v>
      </x:c>
      <x:c r="B33" s="10"/>
      <x:c r="C33" s="10"/>
      <x:c r="D33" s="10"/>
      <x:c r="E33" s="11" t="n">
        <x:f aca="0">COUNTIFS('MATRIZ GENERAL DE CASOS'!$O$5:$O$59,"No ejecutado",'MATRIZ GENERAL DE CASOS'!$P$5:$P$59,"&lt;&gt;Pendiente")</x:f>
        <x:v>0</x:v>
      </x:c>
      <x:c r="F33" s="11" t="str">
        <x:f aca="0">IF(E33=0,"Correcto","Revisar")</x:f>
        <x:v>Correcto</x:v>
      </x:c>
    </x:row>
    <x:row r="34" ht="30" hidden="0" customHeight="1">
      <x:c r="A34" s="10" t="s">
        <x:v>811</x:v>
      </x:c>
      <x:c r="B34" s="10"/>
      <x:c r="C34" s="10"/>
      <x:c r="D34" s="10"/>
      <x:c r="E34" s="11" t="n">
        <x:f aca="0">COUNTIFS('MATRIZ GENERAL DE CASOS'!$P$5:$P$59,"Aprobado",'MATRIZ GENERAL DE CASOS'!$O$5:$O$59,"&lt;&gt;Ejecutado")+COUNTIFS('MATRIZ GENERAL DE CASOS'!$P$5:$P$59,"En seguimiento",'MATRIZ GENERAL DE CASOS'!$O$5:$O$59,"&lt;&gt;Ejecutado")+COUNTIFS('MATRIZ GENERAL DE CASOS'!$P$5:$P$59,"Rechazado",'MATRIZ GENERAL DE CASOS'!$O$5:$O$59,"&lt;&gt;Ejecutado")</x:f>
        <x:v>0</x:v>
      </x:c>
      <x:c r="F34" s="11" t="str">
        <x:f aca="0">IF(E34=0,"Correcto","Revisar")</x:f>
        <x:v>Correcto</x:v>
      </x:c>
    </x:row>
    <x:row r="35" ht="30" hidden="0" customHeight="1">
      <x:c r="A35" s="10" t="s">
        <x:v>812</x:v>
      </x:c>
      <x:c r="B35" s="10"/>
      <x:c r="C35" s="10"/>
      <x:c r="D35" s="10"/>
      <x:c r="E35" s="11" t="n">
        <x:f aca="0">COUNTIFS('MATRIZ GENERAL DE CASOS'!$P$5:$P$59,"Aprobado",'MATRIZ GENERAL DE CASOS'!$Q$5:$Q$59,"&lt;&gt;No aplica")+COUNTIFS('MATRIZ GENERAL DE CASOS'!$P$5:$P$59,"Pendiente",'MATRIZ GENERAL DE CASOS'!$Q$5:$Q$59,"&lt;&gt;No aplica")</x:f>
        <x:v>0</x:v>
      </x:c>
      <x:c r="F35" s="11" t="str">
        <x:f aca="0">IF(E35=0,"Correcto","Revisar")</x:f>
        <x:v>Correcto</x:v>
      </x:c>
    </x:row>
    <x:row r="36" ht="30" hidden="0" customHeight="1">
      <x:c r="A36" s="10" t="s">
        <x:v>813</x:v>
      </x:c>
      <x:c r="B36" s="10"/>
      <x:c r="C36" s="10"/>
      <x:c r="D36" s="10"/>
      <x:c r="E36" s="11" t="n">
        <x:f aca="0">TRAZABILIDAD!$G$47-B5</x:f>
        <x:v>-55</x:v>
      </x:c>
      <x:c r="F36" s="11" t="str">
        <x:f aca="0">IF(E36=0,"Correcto","Revisar")</x:f>
        <x:v>Revisar</x:v>
      </x:c>
    </x:row>
    <x:row r="38" ht="15" hidden="0">
      <x:c r="A38" s="6" t="s">
        <x:v>814</x:v>
      </x:c>
    </x:row>
  </x:sheetData>
  <x:mergeCells>
    <x:mergeCell ref="A1:F1"/>
    <x:mergeCell ref="A2:F2"/>
    <x:mergeCell ref="A32:D32"/>
    <x:mergeCell ref="A33:D33"/>
    <x:mergeCell ref="A34:D34"/>
    <x:mergeCell ref="A35:D35"/>
    <x:mergeCell ref="A36:D3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8.6796875" defaultRowHeight="15"/>
  <x:cols>
    <x:col min="1" max="1" width="24" hidden="0" customWidth="1"/>
    <x:col min="2" max="2" width="22" hidden="0" customWidth="1"/>
    <x:col min="3" max="3" width="72" hidden="0" customWidth="1"/>
    <x:col min="4" max="4" width="38" hidden="0" customWidth="1"/>
  </x:cols>
  <x:sheetData>
    <x:row r="1" ht="27.75" hidden="0" customHeight="1">
      <x:c r="A1" s="1" t="s">
        <x:v>815</x:v>
      </x:c>
      <x:c r="B1" s="1"/>
      <x:c r="C1" s="1"/>
      <x:c r="D1" s="1"/>
    </x:row>
    <x:row r="2" ht="19.5" hidden="0" customHeight="1">
      <x:c r="A2" s="2" t="s">
        <x:v>1</x:v>
      </x:c>
      <x:c r="B2" s="2"/>
      <x:c r="C2" s="2"/>
      <x:c r="D2" s="2"/>
    </x:row>
    <x:row r="4" ht="36" hidden="0" customHeight="1">
      <x:c r="A4" s="8" t="s">
        <x:v>816</x:v>
      </x:c>
      <x:c r="B4" s="8" t="s">
        <x:v>808</x:v>
      </x:c>
      <x:c r="C4" s="8" t="s">
        <x:v>817</x:v>
      </x:c>
      <x:c r="D4" s="8" t="s">
        <x:v>818</x:v>
      </x:c>
    </x:row>
    <x:row r="5" ht="31.5" hidden="0" customHeight="1">
      <x:c r="A5" s="15" t="s">
        <x:v>54</x:v>
      </x:c>
      <x:c r="B5" s="15" t="s">
        <x:v>819</x:v>
      </x:c>
      <x:c r="C5" s="10" t="s">
        <x:v>820</x:v>
      </x:c>
      <x:c r="D5" s="10" t="s">
        <x:v>821</x:v>
      </x:c>
    </x:row>
    <x:row r="6" ht="30" hidden="0" customHeight="1">
      <x:c r="A6" s="15"/>
      <x:c r="B6" s="15" t="s">
        <x:v>799</x:v>
      </x:c>
      <x:c r="C6" s="10" t="s">
        <x:v>822</x:v>
      </x:c>
      <x:c r="D6" s="10" t="s">
        <x:v>821</x:v>
      </x:c>
    </x:row>
    <x:row r="7" ht="31.5" hidden="0" customHeight="1">
      <x:c r="A7" s="15"/>
      <x:c r="B7" s="15" t="s">
        <x:v>823</x:v>
      </x:c>
      <x:c r="C7" s="10" t="s">
        <x:v>824</x:v>
      </x:c>
      <x:c r="D7" s="10" t="s">
        <x:v>821</x:v>
      </x:c>
    </x:row>
    <x:row r="8" ht="31.5" hidden="0" customHeight="1">
      <x:c r="A8" s="15"/>
      <x:c r="B8" s="15" t="s">
        <x:v>825</x:v>
      </x:c>
      <x:c r="C8" s="10" t="s">
        <x:v>826</x:v>
      </x:c>
      <x:c r="D8" s="10" t="s">
        <x:v>821</x:v>
      </x:c>
    </x:row>
    <x:row r="9" ht="30" hidden="0" customHeight="1">
      <x:c r="A9" s="15"/>
      <x:c r="B9" s="15" t="s">
        <x:v>524</x:v>
      </x:c>
      <x:c r="C9" s="10" t="s">
        <x:v>827</x:v>
      </x:c>
      <x:c r="D9" s="10" t="s">
        <x:v>821</x:v>
      </x:c>
    </x:row>
    <x:row r="10" ht="31.5" hidden="0" customHeight="1">
      <x:c r="A10" s="16" t="s">
        <x:v>55</x:v>
      </x:c>
      <x:c r="B10" s="16" t="s">
        <x:v>828</x:v>
      </x:c>
      <x:c r="C10" s="13" t="s">
        <x:v>829</x:v>
      </x:c>
      <x:c r="D10" s="13" t="s">
        <x:v>830</x:v>
      </x:c>
    </x:row>
    <x:row r="11" ht="31.5" hidden="0" customHeight="1">
      <x:c r="A11" s="16"/>
      <x:c r="B11" s="16" t="s">
        <x:v>831</x:v>
      </x:c>
      <x:c r="C11" s="13" t="s">
        <x:v>832</x:v>
      </x:c>
      <x:c r="D11" s="13" t="s">
        <x:v>830</x:v>
      </x:c>
    </x:row>
    <x:row r="12" ht="45.75" hidden="0" customHeight="1">
      <x:c r="A12" s="16"/>
      <x:c r="B12" s="16" t="s">
        <x:v>802</x:v>
      </x:c>
      <x:c r="C12" s="13" t="s">
        <x:v>833</x:v>
      </x:c>
      <x:c r="D12" s="13" t="s">
        <x:v>830</x:v>
      </x:c>
    </x:row>
    <x:row r="13" ht="31.5" hidden="0" customHeight="1">
      <x:c r="A13" s="16"/>
      <x:c r="B13" s="16" t="s">
        <x:v>834</x:v>
      </x:c>
      <x:c r="C13" s="13" t="s">
        <x:v>835</x:v>
      </x:c>
      <x:c r="D13" s="13" t="s">
        <x:v>830</x:v>
      </x:c>
    </x:row>
    <x:row r="14" ht="31.5" hidden="0" customHeight="1">
      <x:c r="A14" s="15" t="s">
        <x:v>46</x:v>
      </x:c>
      <x:c r="B14" s="15" t="s">
        <x:v>68</x:v>
      </x:c>
      <x:c r="C14" s="10" t="s">
        <x:v>836</x:v>
      </x:c>
      <x:c r="D14" s="10" t="s">
        <x:v>837</x:v>
      </x:c>
    </x:row>
    <x:row r="15" ht="31.5" hidden="0" customHeight="1">
      <x:c r="A15" s="15"/>
      <x:c r="B15" s="15" t="s">
        <x:v>86</x:v>
      </x:c>
      <x:c r="C15" s="10" t="s">
        <x:v>838</x:v>
      </x:c>
      <x:c r="D15" s="10" t="s">
        <x:v>837</x:v>
      </x:c>
    </x:row>
    <x:row r="16" ht="31.5" hidden="0" customHeight="1">
      <x:c r="A16" s="15"/>
      <x:c r="B16" s="15" t="s">
        <x:v>168</x:v>
      </x:c>
      <x:c r="C16" s="10" t="s">
        <x:v>839</x:v>
      </x:c>
      <x:c r="D16" s="10" t="s">
        <x:v>837</x:v>
      </x:c>
    </x:row>
    <x:row r="17" ht="31.5" hidden="0" customHeight="1">
      <x:c r="A17" s="16" t="s">
        <x:v>787</x:v>
      </x:c>
      <x:c r="B17" s="16" t="s">
        <x:v>68</x:v>
      </x:c>
      <x:c r="C17" s="13" t="s">
        <x:v>840</x:v>
      </x:c>
      <x:c r="D17" s="13" t="s">
        <x:v>841</x:v>
      </x:c>
    </x:row>
    <x:row r="18" ht="31.5" hidden="0" customHeight="1">
      <x:c r="A18" s="16"/>
      <x:c r="B18" s="16" t="s">
        <x:v>86</x:v>
      </x:c>
      <x:c r="C18" s="13" t="s">
        <x:v>842</x:v>
      </x:c>
      <x:c r="D18" s="13" t="s">
        <x:v>841</x:v>
      </x:c>
    </x:row>
    <x:row r="19" ht="31.5" hidden="0" customHeight="1">
      <x:c r="A19" s="16"/>
      <x:c r="B19" s="16" t="s">
        <x:v>168</x:v>
      </x:c>
      <x:c r="C19" s="13" t="s">
        <x:v>843</x:v>
      </x:c>
      <x:c r="D19" s="13" t="s">
        <x:v>841</x:v>
      </x:c>
    </x:row>
    <x:row r="20" ht="30" hidden="0" customHeight="1">
      <x:c r="A20" s="16"/>
      <x:c r="B20" s="16" t="s">
        <x:v>524</x:v>
      </x:c>
      <x:c r="C20" s="13" t="s">
        <x:v>844</x:v>
      </x:c>
      <x:c r="D20" s="13" t="s">
        <x:v>845</x:v>
      </x:c>
    </x:row>
    <x:row r="21" ht="45.75" hidden="0" customHeight="1">
      <x:c r="A21" s="15" t="s">
        <x:v>846</x:v>
      </x:c>
      <x:c r="B21" s="15" t="s">
        <x:v>46</x:v>
      </x:c>
      <x:c r="C21" s="10" t="s">
        <x:v>847</x:v>
      </x:c>
      <x:c r="D21" s="10" t="s">
        <x:v>848</x:v>
      </x:c>
    </x:row>
    <x:row r="22" ht="31.5" hidden="0" customHeight="1">
      <x:c r="A22" s="15"/>
      <x:c r="B22" s="15" t="s">
        <x:v>787</x:v>
      </x:c>
      <x:c r="C22" s="10" t="s">
        <x:v>849</x:v>
      </x:c>
      <x:c r="D22" s="10" t="s">
        <x:v>850</x:v>
      </x:c>
    </x:row>
    <x:row r="23" ht="30" hidden="0" customHeight="1">
      <x:c r="A23" s="16" t="s">
        <x:v>45</x:v>
      </x:c>
      <x:c r="B23" s="16" t="s">
        <x:v>67</x:v>
      </x:c>
      <x:c r="C23" s="13" t="s">
        <x:v>851</x:v>
      </x:c>
      <x:c r="D23" s="13" t="s">
        <x:v>852</x:v>
      </x:c>
    </x:row>
    <x:row r="24" ht="30" hidden="0" customHeight="1">
      <x:c r="A24" s="16"/>
      <x:c r="B24" s="16" t="s">
        <x:v>85</x:v>
      </x:c>
      <x:c r="C24" s="13" t="s">
        <x:v>853</x:v>
      </x:c>
      <x:c r="D24" s="13" t="s">
        <x:v>852</x:v>
      </x:c>
    </x:row>
    <x:row r="25" ht="30" hidden="0" customHeight="1">
      <x:c r="A25" s="16"/>
      <x:c r="B25" s="16" t="s">
        <x:v>76</x:v>
      </x:c>
      <x:c r="C25" s="13" t="s">
        <x:v>854</x:v>
      </x:c>
      <x:c r="D25" s="13" t="s">
        <x:v>852</x:v>
      </x:c>
    </x:row>
    <x:row r="26" ht="30" hidden="0" customHeight="1">
      <x:c r="A26" s="16"/>
      <x:c r="B26" s="16" t="s">
        <x:v>95</x:v>
      </x:c>
      <x:c r="C26" s="13" t="s">
        <x:v>855</x:v>
      </x:c>
      <x:c r="D26" s="13" t="s">
        <x:v>852</x:v>
      </x:c>
    </x:row>
    <x:row r="27" ht="30" hidden="0" customHeight="1">
      <x:c r="A27" s="16"/>
      <x:c r="B27" s="16" t="s">
        <x:v>396</x:v>
      </x:c>
      <x:c r="C27" s="13" t="s">
        <x:v>856</x:v>
      </x:c>
      <x:c r="D27" s="13" t="s">
        <x:v>852</x:v>
      </x:c>
    </x:row>
    <x:row r="28" ht="30" hidden="0" customHeight="1">
      <x:c r="A28" s="16"/>
      <x:c r="B28" s="16" t="s">
        <x:v>461</x:v>
      </x:c>
      <x:c r="C28" s="13" t="s">
        <x:v>857</x:v>
      </x:c>
      <x:c r="D28" s="13" t="s">
        <x:v>852</x:v>
      </x:c>
    </x:row>
    <x:row r="29" ht="31.5" hidden="0" customHeight="1">
      <x:c r="A29" s="15" t="s">
        <x:v>858</x:v>
      </x:c>
      <x:c r="B29" s="15" t="s">
        <x:v>859</x:v>
      </x:c>
      <x:c r="C29" s="10" t="s">
        <x:v>860</x:v>
      </x:c>
      <x:c r="D29" s="10" t="s">
        <x:v>861</x:v>
      </x:c>
    </x:row>
    <x:row r="30" ht="45.75" hidden="0" customHeight="1">
      <x:c r="A30" s="16" t="s">
        <x:v>862</x:v>
      </x:c>
      <x:c r="B30" s="16" t="s">
        <x:v>863</x:v>
      </x:c>
      <x:c r="C30" s="13" t="s">
        <x:v>864</x:v>
      </x:c>
      <x:c r="D30" s="13" t="s">
        <x:v>865</x:v>
      </x:c>
    </x:row>
    <x:row r="31" ht="45.75" hidden="0" customHeight="1">
      <x:c r="A31" s="15" t="s">
        <x:v>866</x:v>
      </x:c>
      <x:c r="B31" s="15" t="s">
        <x:v>867</x:v>
      </x:c>
      <x:c r="C31" s="10" t="s">
        <x:v>868</x:v>
      </x:c>
      <x:c r="D31" s="10" t="s">
        <x:v>869</x:v>
      </x:c>
    </x:row>
  </x:sheetData>
  <x:mergeCells>
    <x:mergeCell ref="A1:D1"/>
    <x:mergeCell ref="A2:D2"/>
  </x:mergeCells>
  <x:pageMargins left="0.7" right="0.7" top="0.75" bottom="0.75" header="0.3" footer="0.3"/>
</x:worksheet>
</file>